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E8A1001-EEB6-45D5-873F-13441F3F309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2" sheetId="3" r:id="rId2"/>
    <sheet name="Sheet3" sheetId="4" r:id="rId3"/>
    <sheet name="Sheet4" sheetId="5" r:id="rId4"/>
    <sheet name="Sheet6" sheetId="7" r:id="rId5"/>
    <sheet name="Sheet5" sheetId="6" r:id="rId6"/>
    <sheet name="Sheet7" sheetId="8" r:id="rId7"/>
  </sheets>
  <definedNames>
    <definedName name="_xlnm._FilterDatabase" localSheetId="4" hidden="1">Sheet6!$D$6:$O$21</definedName>
    <definedName name="_xlnm._FilterDatabase" localSheetId="6" hidden="1">Sheet7!$A$3:$K$18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8" l="1"/>
  <c r="G12" i="8"/>
  <c r="J12" i="8" s="1"/>
  <c r="F12" i="8"/>
  <c r="E12" i="8"/>
  <c r="H13" i="8"/>
  <c r="G13" i="8"/>
  <c r="J13" i="8" s="1"/>
  <c r="F13" i="8"/>
  <c r="E13" i="8"/>
  <c r="H14" i="8"/>
  <c r="G14" i="8"/>
  <c r="J14" i="8" s="1"/>
  <c r="F14" i="8"/>
  <c r="E14" i="8"/>
  <c r="I14" i="8" s="1"/>
  <c r="K14" i="8" s="1"/>
  <c r="H16" i="8"/>
  <c r="G16" i="8"/>
  <c r="J16" i="8" s="1"/>
  <c r="F16" i="8"/>
  <c r="E16" i="8"/>
  <c r="H9" i="8"/>
  <c r="G9" i="8"/>
  <c r="J9" i="8" s="1"/>
  <c r="F9" i="8"/>
  <c r="E9" i="8"/>
  <c r="I9" i="8" s="1"/>
  <c r="K9" i="8" s="1"/>
  <c r="H4" i="8"/>
  <c r="G4" i="8"/>
  <c r="J4" i="8" s="1"/>
  <c r="F4" i="8"/>
  <c r="E4" i="8"/>
  <c r="I4" i="8" s="1"/>
  <c r="K4" i="8" s="1"/>
  <c r="H8" i="8"/>
  <c r="G8" i="8"/>
  <c r="J8" i="8" s="1"/>
  <c r="F8" i="8"/>
  <c r="E8" i="8"/>
  <c r="H6" i="8"/>
  <c r="G6" i="8"/>
  <c r="J6" i="8" s="1"/>
  <c r="F6" i="8"/>
  <c r="E6" i="8"/>
  <c r="I6" i="8" s="1"/>
  <c r="K6" i="8" s="1"/>
  <c r="H5" i="8"/>
  <c r="G5" i="8"/>
  <c r="J5" i="8" s="1"/>
  <c r="F5" i="8"/>
  <c r="E5" i="8"/>
  <c r="H7" i="8"/>
  <c r="G7" i="8"/>
  <c r="J7" i="8" s="1"/>
  <c r="F7" i="8"/>
  <c r="E7" i="8"/>
  <c r="I7" i="8" s="1"/>
  <c r="H10" i="8"/>
  <c r="G10" i="8"/>
  <c r="J10" i="8" s="1"/>
  <c r="F10" i="8"/>
  <c r="E10" i="8"/>
  <c r="I10" i="8" s="1"/>
  <c r="K10" i="8" s="1"/>
  <c r="H15" i="8"/>
  <c r="G15" i="8"/>
  <c r="J15" i="8" s="1"/>
  <c r="F15" i="8"/>
  <c r="E15" i="8"/>
  <c r="I15" i="8" s="1"/>
  <c r="K15" i="8" s="1"/>
  <c r="H17" i="8"/>
  <c r="G17" i="8"/>
  <c r="J17" i="8" s="1"/>
  <c r="F17" i="8"/>
  <c r="E17" i="8"/>
  <c r="I17" i="8" s="1"/>
  <c r="K17" i="8" s="1"/>
  <c r="H11" i="8"/>
  <c r="G11" i="8"/>
  <c r="J11" i="8" s="1"/>
  <c r="F11" i="8"/>
  <c r="E11" i="8"/>
  <c r="I11" i="8" s="1"/>
  <c r="K11" i="8" s="1"/>
  <c r="H18" i="8"/>
  <c r="G18" i="8"/>
  <c r="J18" i="8" s="1"/>
  <c r="F18" i="8"/>
  <c r="E18" i="8"/>
  <c r="K21" i="7"/>
  <c r="J21" i="7"/>
  <c r="M21" i="7" s="1"/>
  <c r="I21" i="7"/>
  <c r="H21" i="7"/>
  <c r="L21" i="7" s="1"/>
  <c r="K14" i="7"/>
  <c r="J14" i="7"/>
  <c r="M14" i="7" s="1"/>
  <c r="I14" i="7"/>
  <c r="H14" i="7"/>
  <c r="K20" i="7"/>
  <c r="J20" i="7"/>
  <c r="M20" i="7" s="1"/>
  <c r="I20" i="7"/>
  <c r="H20" i="7"/>
  <c r="L20" i="7" s="1"/>
  <c r="K18" i="7"/>
  <c r="J18" i="7"/>
  <c r="M18" i="7" s="1"/>
  <c r="I18" i="7"/>
  <c r="H18" i="7"/>
  <c r="L18" i="7" s="1"/>
  <c r="K19" i="7"/>
  <c r="J19" i="7"/>
  <c r="M19" i="7" s="1"/>
  <c r="I19" i="7"/>
  <c r="H19" i="7"/>
  <c r="L19" i="7" s="1"/>
  <c r="N19" i="7" s="1"/>
  <c r="O19" i="7" s="1"/>
  <c r="K11" i="7"/>
  <c r="J11" i="7"/>
  <c r="M11" i="7" s="1"/>
  <c r="I11" i="7"/>
  <c r="H11" i="7"/>
  <c r="L11" i="7" s="1"/>
  <c r="K15" i="7"/>
  <c r="J15" i="7"/>
  <c r="M15" i="7" s="1"/>
  <c r="I15" i="7"/>
  <c r="H15" i="7"/>
  <c r="L15" i="7" s="1"/>
  <c r="N15" i="7" s="1"/>
  <c r="O15" i="7" s="1"/>
  <c r="K10" i="7"/>
  <c r="J10" i="7"/>
  <c r="M10" i="7" s="1"/>
  <c r="I10" i="7"/>
  <c r="H10" i="7"/>
  <c r="L10" i="7" s="1"/>
  <c r="K13" i="7"/>
  <c r="J13" i="7"/>
  <c r="M13" i="7" s="1"/>
  <c r="I13" i="7"/>
  <c r="H13" i="7"/>
  <c r="L13" i="7" s="1"/>
  <c r="K12" i="7"/>
  <c r="J12" i="7"/>
  <c r="M12" i="7" s="1"/>
  <c r="I12" i="7"/>
  <c r="H12" i="7"/>
  <c r="L12" i="7" s="1"/>
  <c r="K17" i="7"/>
  <c r="J17" i="7"/>
  <c r="M17" i="7" s="1"/>
  <c r="I17" i="7"/>
  <c r="H17" i="7"/>
  <c r="L17" i="7" s="1"/>
  <c r="N17" i="7" s="1"/>
  <c r="O17" i="7" s="1"/>
  <c r="K9" i="7"/>
  <c r="J9" i="7"/>
  <c r="I9" i="7"/>
  <c r="H9" i="7"/>
  <c r="L9" i="7" s="1"/>
  <c r="K16" i="7"/>
  <c r="J16" i="7"/>
  <c r="M16" i="7" s="1"/>
  <c r="I16" i="7"/>
  <c r="H16" i="7"/>
  <c r="L16" i="7" s="1"/>
  <c r="N16" i="7" s="1"/>
  <c r="O16" i="7" s="1"/>
  <c r="K8" i="7"/>
  <c r="J8" i="7"/>
  <c r="M8" i="7" s="1"/>
  <c r="I8" i="7"/>
  <c r="H8" i="7"/>
  <c r="L8" i="7" s="1"/>
  <c r="K7" i="7"/>
  <c r="J7" i="7"/>
  <c r="M7" i="7" s="1"/>
  <c r="I7" i="7"/>
  <c r="H7" i="7"/>
  <c r="L7" i="7" s="1"/>
  <c r="N7" i="7" s="1"/>
  <c r="O7" i="7" s="1"/>
  <c r="I13" i="5"/>
  <c r="H13" i="5"/>
  <c r="K13" i="5" s="1"/>
  <c r="G13" i="5"/>
  <c r="F13" i="5"/>
  <c r="J13" i="5" s="1"/>
  <c r="L13" i="5" s="1"/>
  <c r="M13" i="5" s="1"/>
  <c r="I16" i="5"/>
  <c r="H16" i="5"/>
  <c r="K16" i="5" s="1"/>
  <c r="L16" i="5" s="1"/>
  <c r="M16" i="5" s="1"/>
  <c r="G16" i="5"/>
  <c r="F16" i="5"/>
  <c r="J16" i="5" s="1"/>
  <c r="I19" i="5"/>
  <c r="H19" i="5"/>
  <c r="K19" i="5" s="1"/>
  <c r="G19" i="5"/>
  <c r="F19" i="5"/>
  <c r="J19" i="5" s="1"/>
  <c r="I10" i="5"/>
  <c r="H10" i="5"/>
  <c r="K10" i="5" s="1"/>
  <c r="L10" i="5" s="1"/>
  <c r="M10" i="5" s="1"/>
  <c r="G10" i="5"/>
  <c r="F10" i="5"/>
  <c r="J10" i="5" s="1"/>
  <c r="I7" i="5"/>
  <c r="H7" i="5"/>
  <c r="K7" i="5" s="1"/>
  <c r="G7" i="5"/>
  <c r="F7" i="5"/>
  <c r="J7" i="5" s="1"/>
  <c r="L7" i="5" s="1"/>
  <c r="M7" i="5" s="1"/>
  <c r="I12" i="5"/>
  <c r="H12" i="5"/>
  <c r="K12" i="5" s="1"/>
  <c r="G12" i="5"/>
  <c r="F12" i="5"/>
  <c r="J12" i="5" s="1"/>
  <c r="I15" i="5"/>
  <c r="H15" i="5"/>
  <c r="K15" i="5" s="1"/>
  <c r="G15" i="5"/>
  <c r="F15" i="5"/>
  <c r="J15" i="5" s="1"/>
  <c r="L15" i="5" s="1"/>
  <c r="M15" i="5" s="1"/>
  <c r="I6" i="5"/>
  <c r="H6" i="5"/>
  <c r="K6" i="5" s="1"/>
  <c r="G6" i="5"/>
  <c r="F6" i="5"/>
  <c r="J6" i="5" s="1"/>
  <c r="L6" i="5" s="1"/>
  <c r="M6" i="5" s="1"/>
  <c r="I9" i="5"/>
  <c r="H9" i="5"/>
  <c r="K9" i="5" s="1"/>
  <c r="G9" i="5"/>
  <c r="F9" i="5"/>
  <c r="J9" i="5" s="1"/>
  <c r="I18" i="5"/>
  <c r="H18" i="5"/>
  <c r="K18" i="5" s="1"/>
  <c r="G18" i="5"/>
  <c r="F18" i="5"/>
  <c r="J18" i="5" s="1"/>
  <c r="I17" i="5"/>
  <c r="H17" i="5"/>
  <c r="K17" i="5" s="1"/>
  <c r="G17" i="5"/>
  <c r="F17" i="5"/>
  <c r="J17" i="5" s="1"/>
  <c r="L17" i="5" s="1"/>
  <c r="M17" i="5" s="1"/>
  <c r="I14" i="5"/>
  <c r="H14" i="5"/>
  <c r="K14" i="5" s="1"/>
  <c r="G14" i="5"/>
  <c r="F14" i="5"/>
  <c r="J14" i="5" s="1"/>
  <c r="L14" i="5" s="1"/>
  <c r="M14" i="5" s="1"/>
  <c r="I11" i="5"/>
  <c r="H11" i="5"/>
  <c r="K11" i="5" s="1"/>
  <c r="G11" i="5"/>
  <c r="F11" i="5"/>
  <c r="J11" i="5" s="1"/>
  <c r="L11" i="5" s="1"/>
  <c r="M11" i="5" s="1"/>
  <c r="I8" i="5"/>
  <c r="H8" i="5"/>
  <c r="K8" i="5" s="1"/>
  <c r="G8" i="5"/>
  <c r="F8" i="5"/>
  <c r="J8" i="5" s="1"/>
  <c r="L8" i="5" s="1"/>
  <c r="M8" i="5" s="1"/>
  <c r="I5" i="5"/>
  <c r="H5" i="5"/>
  <c r="K5" i="5" s="1"/>
  <c r="G5" i="5"/>
  <c r="F5" i="5"/>
  <c r="J5" i="5" s="1"/>
  <c r="L5" i="5" s="1"/>
  <c r="M5" i="5" s="1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L6" i="3"/>
  <c r="F10" i="3"/>
  <c r="J10" i="3" s="1"/>
  <c r="L10" i="3" s="1"/>
  <c r="F6" i="3"/>
  <c r="F7" i="3"/>
  <c r="J7" i="3" s="1"/>
  <c r="L7" i="3" s="1"/>
  <c r="F8" i="3"/>
  <c r="J8" i="3" s="1"/>
  <c r="L8" i="3" s="1"/>
  <c r="F9" i="3"/>
  <c r="J9" i="3" s="1"/>
  <c r="L9" i="3" s="1"/>
  <c r="F11" i="3"/>
  <c r="J11" i="3" s="1"/>
  <c r="L11" i="3" s="1"/>
  <c r="F12" i="3"/>
  <c r="J12" i="3" s="1"/>
  <c r="L12" i="3" s="1"/>
  <c r="F13" i="3"/>
  <c r="J13" i="3" s="1"/>
  <c r="L13" i="3" s="1"/>
  <c r="F14" i="3"/>
  <c r="J14" i="3" s="1"/>
  <c r="L14" i="3" s="1"/>
  <c r="F15" i="3"/>
  <c r="J15" i="3" s="1"/>
  <c r="L15" i="3" s="1"/>
  <c r="F16" i="3"/>
  <c r="J16" i="3" s="1"/>
  <c r="L16" i="3" s="1"/>
  <c r="F17" i="3"/>
  <c r="J17" i="3" s="1"/>
  <c r="L17" i="3" s="1"/>
  <c r="F18" i="3"/>
  <c r="J18" i="3" s="1"/>
  <c r="L18" i="3" s="1"/>
  <c r="F19" i="3"/>
  <c r="J19" i="3" s="1"/>
  <c r="L19" i="3" s="1"/>
  <c r="F20" i="3"/>
  <c r="J20" i="3" s="1"/>
  <c r="L20" i="3" s="1"/>
  <c r="I21" i="4"/>
  <c r="H21" i="4"/>
  <c r="K21" i="4" s="1"/>
  <c r="G21" i="4"/>
  <c r="F21" i="4"/>
  <c r="I20" i="4"/>
  <c r="H20" i="4"/>
  <c r="K20" i="4" s="1"/>
  <c r="G20" i="4"/>
  <c r="F20" i="4"/>
  <c r="J20" i="4" s="1"/>
  <c r="L20" i="4" s="1"/>
  <c r="M20" i="4" s="1"/>
  <c r="I19" i="4"/>
  <c r="H19" i="4"/>
  <c r="K19" i="4" s="1"/>
  <c r="G19" i="4"/>
  <c r="F19" i="4"/>
  <c r="J19" i="4" s="1"/>
  <c r="I18" i="4"/>
  <c r="H18" i="4"/>
  <c r="K18" i="4" s="1"/>
  <c r="G18" i="4"/>
  <c r="F18" i="4"/>
  <c r="J18" i="4" s="1"/>
  <c r="L18" i="4" s="1"/>
  <c r="M18" i="4" s="1"/>
  <c r="I17" i="4"/>
  <c r="H17" i="4"/>
  <c r="K17" i="4" s="1"/>
  <c r="G17" i="4"/>
  <c r="F17" i="4"/>
  <c r="J17" i="4" s="1"/>
  <c r="L17" i="4" s="1"/>
  <c r="M17" i="4" s="1"/>
  <c r="I16" i="4"/>
  <c r="H16" i="4"/>
  <c r="K16" i="4" s="1"/>
  <c r="G16" i="4"/>
  <c r="F16" i="4"/>
  <c r="J16" i="4" s="1"/>
  <c r="L16" i="4" s="1"/>
  <c r="M16" i="4" s="1"/>
  <c r="I15" i="4"/>
  <c r="H15" i="4"/>
  <c r="G15" i="4"/>
  <c r="F15" i="4"/>
  <c r="J15" i="4" s="1"/>
  <c r="I14" i="4"/>
  <c r="H14" i="4"/>
  <c r="K14" i="4" s="1"/>
  <c r="G14" i="4"/>
  <c r="F14" i="4"/>
  <c r="I13" i="4"/>
  <c r="H13" i="4"/>
  <c r="K13" i="4" s="1"/>
  <c r="G13" i="4"/>
  <c r="F13" i="4"/>
  <c r="I12" i="4"/>
  <c r="H12" i="4"/>
  <c r="K12" i="4" s="1"/>
  <c r="G12" i="4"/>
  <c r="F12" i="4"/>
  <c r="J12" i="4" s="1"/>
  <c r="L12" i="4" s="1"/>
  <c r="M12" i="4" s="1"/>
  <c r="I11" i="4"/>
  <c r="H11" i="4"/>
  <c r="K11" i="4" s="1"/>
  <c r="G11" i="4"/>
  <c r="F11" i="4"/>
  <c r="J11" i="4" s="1"/>
  <c r="L11" i="4" s="1"/>
  <c r="M11" i="4" s="1"/>
  <c r="I10" i="4"/>
  <c r="H10" i="4"/>
  <c r="K10" i="4" s="1"/>
  <c r="G10" i="4"/>
  <c r="F10" i="4"/>
  <c r="J10" i="4" s="1"/>
  <c r="I9" i="4"/>
  <c r="H9" i="4"/>
  <c r="K9" i="4" s="1"/>
  <c r="G9" i="4"/>
  <c r="F9" i="4"/>
  <c r="J9" i="4" s="1"/>
  <c r="L9" i="4" s="1"/>
  <c r="M9" i="4" s="1"/>
  <c r="I8" i="4"/>
  <c r="H8" i="4"/>
  <c r="K8" i="4" s="1"/>
  <c r="G8" i="4"/>
  <c r="F8" i="4"/>
  <c r="I7" i="4"/>
  <c r="H7" i="4"/>
  <c r="K7" i="4" s="1"/>
  <c r="G7" i="4"/>
  <c r="F7" i="4"/>
  <c r="J7" i="4" s="1"/>
  <c r="L7" i="4" s="1"/>
  <c r="M7" i="4" s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6" i="3"/>
  <c r="J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6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I3" i="1"/>
  <c r="K3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2" i="1"/>
  <c r="K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K7" i="8" l="1"/>
  <c r="I12" i="8"/>
  <c r="K12" i="8" s="1"/>
  <c r="I13" i="8"/>
  <c r="I18" i="8"/>
  <c r="K18" i="8" s="1"/>
  <c r="I8" i="8"/>
  <c r="K8" i="8" s="1"/>
  <c r="I16" i="8"/>
  <c r="K16" i="8" s="1"/>
  <c r="I5" i="8"/>
  <c r="K5" i="8" s="1"/>
  <c r="K13" i="8"/>
  <c r="N13" i="7"/>
  <c r="O13" i="7" s="1"/>
  <c r="N8" i="7"/>
  <c r="O8" i="7" s="1"/>
  <c r="N10" i="7"/>
  <c r="O10" i="7" s="1"/>
  <c r="N12" i="7"/>
  <c r="O12" i="7" s="1"/>
  <c r="L14" i="7"/>
  <c r="N14" i="7" s="1"/>
  <c r="O14" i="7" s="1"/>
  <c r="N21" i="7"/>
  <c r="O21" i="7" s="1"/>
  <c r="N20" i="7"/>
  <c r="O20" i="7" s="1"/>
  <c r="M9" i="7"/>
  <c r="N9" i="7" s="1"/>
  <c r="O9" i="7" s="1"/>
  <c r="N11" i="7"/>
  <c r="O11" i="7" s="1"/>
  <c r="N18" i="7"/>
  <c r="O18" i="7" s="1"/>
  <c r="L18" i="5"/>
  <c r="M18" i="5" s="1"/>
  <c r="L12" i="5"/>
  <c r="M12" i="5" s="1"/>
  <c r="L9" i="5"/>
  <c r="M9" i="5" s="1"/>
  <c r="L19" i="5"/>
  <c r="M19" i="5" s="1"/>
  <c r="L19" i="4"/>
  <c r="M19" i="4" s="1"/>
  <c r="K15" i="4"/>
  <c r="L15" i="4" s="1"/>
  <c r="M15" i="4" s="1"/>
  <c r="J14" i="4"/>
  <c r="L14" i="4" s="1"/>
  <c r="M14" i="4" s="1"/>
  <c r="J21" i="4"/>
  <c r="L21" i="4" s="1"/>
  <c r="M21" i="4" s="1"/>
  <c r="J13" i="4"/>
  <c r="L13" i="4" s="1"/>
  <c r="M13" i="4" s="1"/>
  <c r="J8" i="4"/>
  <c r="L8" i="4" s="1"/>
  <c r="M8" i="4" s="1"/>
  <c r="L10" i="4"/>
  <c r="M10" i="4" s="1"/>
</calcChain>
</file>

<file path=xl/sharedStrings.xml><?xml version="1.0" encoding="utf-8"?>
<sst xmlns="http://schemas.openxmlformats.org/spreadsheetml/2006/main" count="298" uniqueCount="72">
  <si>
    <t>Emp ID</t>
  </si>
  <si>
    <t>Employee Name</t>
  </si>
  <si>
    <t>Department</t>
  </si>
  <si>
    <t>Basic_Sal</t>
  </si>
  <si>
    <t>HRA</t>
  </si>
  <si>
    <t>DA</t>
  </si>
  <si>
    <t>PF</t>
  </si>
  <si>
    <t>PT</t>
  </si>
  <si>
    <t>Gross</t>
  </si>
  <si>
    <t>Deduction</t>
  </si>
  <si>
    <t>Net_Sal</t>
  </si>
  <si>
    <t>HRA - House Rent allowance</t>
  </si>
  <si>
    <t>DA - Dearness Allowance</t>
  </si>
  <si>
    <t>PF - Provident Fund</t>
  </si>
  <si>
    <t>PT - Profession Tax (It is Rs. 2,500/- for 1 year)</t>
  </si>
  <si>
    <t>Instructions:</t>
  </si>
  <si>
    <r>
      <rPr>
        <b/>
        <sz val="11"/>
        <color theme="1"/>
        <rFont val="Arial"/>
      </rPr>
      <t>Emp ID</t>
    </r>
    <r>
      <rPr>
        <sz val="11"/>
        <color theme="1"/>
        <rFont val="Arial"/>
      </rPr>
      <t xml:space="preserve"> - It should be 3 digits numeric data</t>
    </r>
  </si>
  <si>
    <r>
      <rPr>
        <b/>
        <sz val="11"/>
        <color theme="1"/>
        <rFont val="Arial"/>
      </rPr>
      <t>Employee Name</t>
    </r>
    <r>
      <rPr>
        <sz val="11"/>
        <color theme="1"/>
        <rFont val="Arial"/>
      </rPr>
      <t xml:space="preserve"> - Alphabetic data</t>
    </r>
  </si>
  <si>
    <r>
      <rPr>
        <b/>
        <sz val="11"/>
        <color theme="1"/>
        <rFont val="Arial"/>
      </rPr>
      <t>Department</t>
    </r>
    <r>
      <rPr>
        <sz val="11"/>
        <color theme="1"/>
        <rFont val="Arial"/>
      </rPr>
      <t xml:space="preserve"> - Should be only from the following: </t>
    </r>
  </si>
  <si>
    <t>Sales, Marketing, Training, Admin, Legal</t>
  </si>
  <si>
    <r>
      <rPr>
        <b/>
        <sz val="11"/>
        <color theme="1"/>
        <rFont val="Arial"/>
      </rPr>
      <t>HRA</t>
    </r>
    <r>
      <rPr>
        <sz val="11"/>
        <color theme="1"/>
        <rFont val="Arial"/>
      </rPr>
      <t xml:space="preserve"> - Calculate it as 50% of Basic_Sal</t>
    </r>
  </si>
  <si>
    <r>
      <rPr>
        <b/>
        <sz val="11"/>
        <color theme="1"/>
        <rFont val="Arial"/>
      </rPr>
      <t>DA</t>
    </r>
    <r>
      <rPr>
        <sz val="11"/>
        <color theme="1"/>
        <rFont val="Arial"/>
      </rPr>
      <t xml:space="preserve"> - Calculate it as 20% of Basic_Sal</t>
    </r>
  </si>
  <si>
    <r>
      <rPr>
        <b/>
        <sz val="11"/>
        <color theme="1"/>
        <rFont val="Arial"/>
      </rPr>
      <t xml:space="preserve">PF- </t>
    </r>
    <r>
      <rPr>
        <sz val="11"/>
        <color theme="1"/>
        <rFont val="Arial"/>
      </rPr>
      <t>Calculate it as 10% of Basic_Sal</t>
    </r>
  </si>
  <si>
    <r>
      <rPr>
        <b/>
        <sz val="11"/>
        <color theme="1"/>
        <rFont val="Arial"/>
      </rPr>
      <t>PT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 xml:space="preserve">- </t>
    </r>
    <r>
      <rPr>
        <sz val="11"/>
        <color theme="1"/>
        <rFont val="Arial"/>
      </rPr>
      <t>Calculate it for 1 month only</t>
    </r>
  </si>
  <si>
    <r>
      <rPr>
        <b/>
        <sz val="11"/>
        <color theme="1"/>
        <rFont val="Arial"/>
      </rPr>
      <t>Gross</t>
    </r>
    <r>
      <rPr>
        <sz val="11"/>
        <color theme="1"/>
        <rFont val="Arial"/>
      </rPr>
      <t xml:space="preserve"> - Addition of Basic_Sal, HRA &amp; DA</t>
    </r>
  </si>
  <si>
    <r>
      <rPr>
        <b/>
        <sz val="11"/>
        <color theme="1"/>
        <rFont val="Arial"/>
      </rPr>
      <t>Deduction</t>
    </r>
    <r>
      <rPr>
        <sz val="11"/>
        <color theme="1"/>
        <rFont val="Arial"/>
      </rPr>
      <t xml:space="preserve"> - Addition of PF &amp; PT</t>
    </r>
  </si>
  <si>
    <r>
      <rPr>
        <b/>
        <sz val="11"/>
        <color theme="1"/>
        <rFont val="Arial"/>
      </rPr>
      <t>Net_Sal</t>
    </r>
    <r>
      <rPr>
        <sz val="11"/>
        <color theme="1"/>
        <rFont val="Arial"/>
      </rPr>
      <t xml:space="preserve"> - Difference of Gross and Net_Sal</t>
    </r>
  </si>
  <si>
    <t>Tejswini Doundkar</t>
  </si>
  <si>
    <t>Minakshi Narke</t>
  </si>
  <si>
    <t>Swati More</t>
  </si>
  <si>
    <t>Sidhu Kamte</t>
  </si>
  <si>
    <t>Hemal Cholangi</t>
  </si>
  <si>
    <t>Mayur Gore</t>
  </si>
  <si>
    <t>Aditya Birla</t>
  </si>
  <si>
    <t>Harsh Londhe</t>
  </si>
  <si>
    <t>Kaveri Pagare</t>
  </si>
  <si>
    <t>Aankush Lokhande</t>
  </si>
  <si>
    <t>Kishori Mehata</t>
  </si>
  <si>
    <t>Sonalika Bhide</t>
  </si>
  <si>
    <t>Roshan Sodhi</t>
  </si>
  <si>
    <t>Rohini Markute</t>
  </si>
  <si>
    <t>Raja Verma</t>
  </si>
  <si>
    <t>Marketing</t>
  </si>
  <si>
    <t>Training</t>
  </si>
  <si>
    <t>Admin</t>
  </si>
  <si>
    <t>Legal</t>
  </si>
  <si>
    <t>Sales</t>
  </si>
  <si>
    <t>10% Bonus</t>
  </si>
  <si>
    <t>10% Bouns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</si>
  <si>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</si>
  <si>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</si>
  <si>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</si>
  <si>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</si>
  <si>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</si>
  <si>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</si>
  <si>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</si>
  <si>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</si>
  <si>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</si>
  <si>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</si>
  <si>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</si>
  <si>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</si>
  <si>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Calculate the bonus as 10% of gross for those employees where the net salary is less than 67000 otherwise display a message -Not Applicable .</t>
  </si>
  <si>
    <t>Using Conditional Formatting</t>
  </si>
  <si>
    <t>first method of sort</t>
  </si>
  <si>
    <t>* data(menu bar) +Sort +</t>
  </si>
  <si>
    <t>sort entire sheet +custom sort</t>
  </si>
  <si>
    <t>admin</t>
  </si>
  <si>
    <t>training</t>
  </si>
  <si>
    <t>management</t>
  </si>
  <si>
    <t>sales</t>
  </si>
  <si>
    <t>marketing</t>
  </si>
  <si>
    <t>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</si>
</sst>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99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theme="1"/>
      <name val="Arial"/>
      <scheme val="minor"/>
    </font>
    <font>
      <sz val="11"/>
      <color theme="1"/>
      <name val="Arial"/>
    </font>
    <font>
      <sz val="10"/>
      <color rgb="FF000000"/>
      <name val="Arial"/>
      <scheme val="minor"/>
    </font>
    <font>
      <b/>
      <sz val="11"/>
      <color rgb="FF000000"/>
      <name val="Arial"/>
      <family val="2"/>
    </font>
    <font>
      <b/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scheme val="minor"/>
    </font>
    <font>
      <b/>
      <sz val="2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7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/>
    <xf numFmtId="0" fontId="7" fillId="0" borderId="0" xfId="0" applyFont="1"/>
    <xf numFmtId="3" fontId="6" fillId="0" borderId="1" xfId="0" applyNumberFormat="1" applyFont="1" applyBorder="1"/>
    <xf numFmtId="9" fontId="0" fillId="0" borderId="0" xfId="1" applyFont="1"/>
    <xf numFmtId="3" fontId="2" fillId="0" borderId="1" xfId="0" applyNumberFormat="1" applyFont="1" applyBorder="1"/>
    <xf numFmtId="0" fontId="2" fillId="0" borderId="1" xfId="0" applyFont="1" applyBorder="1"/>
    <xf numFmtId="0" fontId="9" fillId="0" borderId="2" xfId="0" applyFont="1" applyBorder="1"/>
    <xf numFmtId="0" fontId="3" fillId="0" borderId="3" xfId="0" applyFont="1" applyBorder="1"/>
    <xf numFmtId="0" fontId="6" fillId="0" borderId="3" xfId="0" applyFont="1" applyBorder="1"/>
    <xf numFmtId="0" fontId="0" fillId="0" borderId="0" xfId="0" applyAlignment="1">
      <alignment horizontal="center"/>
    </xf>
    <xf numFmtId="0" fontId="10" fillId="0" borderId="0" xfId="0" applyFont="1"/>
    <xf numFmtId="0" fontId="12" fillId="0" borderId="0" xfId="0" applyFont="1"/>
    <xf numFmtId="0" fontId="3" fillId="2" borderId="1" xfId="0" applyFont="1" applyFill="1" applyBorder="1"/>
    <xf numFmtId="0" fontId="5" fillId="2" borderId="1" xfId="0" applyFont="1" applyFill="1" applyBorder="1"/>
    <xf numFmtId="0" fontId="13" fillId="2" borderId="5" xfId="0" applyFont="1" applyFill="1" applyBorder="1"/>
    <xf numFmtId="0" fontId="14" fillId="0" borderId="6" xfId="0" applyFont="1" applyBorder="1" applyAlignment="1">
      <alignment horizontal="center"/>
    </xf>
    <xf numFmtId="0" fontId="6" fillId="2" borderId="1" xfId="0" applyFont="1" applyFill="1" applyBorder="1"/>
    <xf numFmtId="3" fontId="6" fillId="2" borderId="1" xfId="0" applyNumberFormat="1" applyFont="1" applyFill="1" applyBorder="1"/>
    <xf numFmtId="0" fontId="14" fillId="2" borderId="6" xfId="0" applyFont="1" applyFill="1" applyBorder="1" applyAlignment="1">
      <alignment horizontal="center"/>
    </xf>
    <xf numFmtId="0" fontId="15" fillId="0" borderId="0" xfId="0" applyFont="1"/>
    <xf numFmtId="0" fontId="13" fillId="2" borderId="4" xfId="0" applyFont="1" applyFill="1" applyBorder="1"/>
    <xf numFmtId="0" fontId="13" fillId="2" borderId="0" xfId="0" applyFont="1" applyFill="1" applyBorder="1"/>
    <xf numFmtId="0" fontId="1" fillId="0" borderId="1" xfId="0" applyFont="1" applyBorder="1"/>
  </cellXfs>
  <cellStyles count="2">
    <cellStyle name="Normal" xfId="0" builtinId="0"/>
    <cellStyle name="Percent" xfId="1" builtinId="5"/>
  </cellStyles>
  <dxfs count="34">
    <dxf>
      <fill>
        <patternFill patternType="solid">
          <fgColor rgb="FFD9E7FD"/>
          <bgColor rgb="FFD9E7FD"/>
        </patternFill>
      </fill>
    </dxf>
    <dxf>
      <fill>
        <patternFill patternType="solid">
          <fgColor rgb="FFD9E7FD"/>
          <bgColor rgb="FFD9E7FD"/>
        </patternFill>
      </fill>
    </dxf>
    <dxf>
      <fill>
        <patternFill patternType="solid">
          <fgColor rgb="FFD9E7FD"/>
          <bgColor rgb="FFD9E7FD"/>
        </patternFill>
      </fill>
    </dxf>
    <dxf>
      <fill>
        <patternFill patternType="solid">
          <fgColor rgb="FFD9E7FD"/>
          <bgColor rgb="FFD9E7F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" formatCode="#,##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70BA51-4B57-42E3-A9FC-D39FA64F83BC}" name="Table2" displayName="Table2" ref="B5:M20" totalsRowShown="0" headerRowDxfId="19" tableBorderDxfId="18">
  <autoFilter ref="B5:M20" xr:uid="{7370BA51-4B57-42E3-A9FC-D39FA64F83BC}"/>
  <tableColumns count="12">
    <tableColumn id="1" xr3:uid="{2D5419C8-E0F0-4DC1-925C-EE11A19CC66F}" name="Emp ID" dataDxfId="17"/>
    <tableColumn id="2" xr3:uid="{70011FBB-26FF-4C03-89EE-1013B5E2B94D}" name="Employee Name" dataDxfId="16"/>
    <tableColumn id="3" xr3:uid="{BA331967-BEBC-4B0E-B567-9DE55788AC5E}" name="Department" dataDxfId="15"/>
    <tableColumn id="4" xr3:uid="{8CF098E1-6948-4A20-82DC-A83CF64AA188}" name="Basic_Sal" dataDxfId="14"/>
    <tableColumn id="5" xr3:uid="{AC359074-1975-4E5F-A908-E211DF27E494}" name="HRA" dataDxfId="13">
      <calculatedColumnFormula>E6*50%</calculatedColumnFormula>
    </tableColumn>
    <tableColumn id="6" xr3:uid="{A4385CDB-4049-4BD9-9DE3-3D6A9D82A97F}" name="DA" dataDxfId="12">
      <calculatedColumnFormula>E6*20%</calculatedColumnFormula>
    </tableColumn>
    <tableColumn id="7" xr3:uid="{4AEB5F98-EE72-4331-ACF9-1197B9F1A60B}" name="PF" dataDxfId="11">
      <calculatedColumnFormula>E6*10%</calculatedColumnFormula>
    </tableColumn>
    <tableColumn id="8" xr3:uid="{1BBC9CEC-7E1D-413A-81CC-2EF1A4DD9F40}" name="PT" dataDxfId="10">
      <calculatedColumnFormula>2500/12</calculatedColumnFormula>
    </tableColumn>
    <tableColumn id="9" xr3:uid="{238AB4D3-615C-47E3-947E-88F5A61FC7EB}" name="Gross" dataDxfId="9">
      <calculatedColumnFormula>SUM(E6:G6)</calculatedColumnFormula>
    </tableColumn>
    <tableColumn id="10" xr3:uid="{C2EF81DE-1EAB-4496-8769-3C36D9B4FB82}" name="Deduction" dataDxfId="8">
      <calculatedColumnFormula>SUM(H6:I6)</calculatedColumnFormula>
    </tableColumn>
    <tableColumn id="11" xr3:uid="{9D31C2F2-D32A-40A8-9E59-D00D244C7B3A}" name="Net_Sal" dataDxfId="7">
      <calculatedColumnFormula>J6-K6</calculatedColumnFormula>
    </tableColumn>
    <tableColumn id="12" xr3:uid="{D721797C-1937-4C56-B65E-1D2DCCDB7016}" name="10% Bonus" dataDxfId="6">
      <calculatedColumnFormula>IF(Table2[[#This Row],[Net_Sal]]&lt;67000,10%*J4,"Not Applicable")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8A465-48E0-4BAC-A892-328F461CBF0F}" name="Table1" displayName="Table1" ref="B5:M21" totalsRowShown="0" headerRowDxfId="33" tableBorderDxfId="32">
  <autoFilter ref="B5:M21" xr:uid="{87F8A465-48E0-4BAC-A892-328F461CBF0F}"/>
  <tableColumns count="12">
    <tableColumn id="1" xr3:uid="{1DD2C04C-413F-44F4-8DCA-21B647F4B400}" name="Column1" dataDxfId="31"/>
    <tableColumn id="2" xr3:uid="{A9D0EDB1-4A64-4316-9AEB-B3B4C93F272C}" name="Column2" dataDxfId="30"/>
    <tableColumn id="3" xr3:uid="{92D9FA8D-4A1E-4B0F-B5DB-58971474C13F}" name="Column3" dataDxfId="29"/>
    <tableColumn id="4" xr3:uid="{D5EAED9D-2A6D-4AF2-AB06-4A861E988480}" name="Column4" dataDxfId="28"/>
    <tableColumn id="5" xr3:uid="{EF0FF3B4-B8A4-4953-A15A-E464330B448B}" name="Column5" dataDxfId="27">
      <calculatedColumnFormula>E6*50%</calculatedColumnFormula>
    </tableColumn>
    <tableColumn id="6" xr3:uid="{FF20C1A6-7D6C-46A6-906F-FE1B4C1582D2}" name="Column6" dataDxfId="26">
      <calculatedColumnFormula>E6*20%</calculatedColumnFormula>
    </tableColumn>
    <tableColumn id="7" xr3:uid="{EDD655F8-63AB-48C7-83FA-B7F0B7FE3EDA}" name="Column7" dataDxfId="25">
      <calculatedColumnFormula>E6*10%</calculatedColumnFormula>
    </tableColumn>
    <tableColumn id="8" xr3:uid="{EE06E928-BFDD-4F8D-B9B2-CA29BF3D6981}" name="Column8" dataDxfId="24">
      <calculatedColumnFormula>2500/12</calculatedColumnFormula>
    </tableColumn>
    <tableColumn id="9" xr3:uid="{965A04CA-0953-43CB-B3DD-5B65F836E9F6}" name="Column9" dataDxfId="23">
      <calculatedColumnFormula>SUM(E6:G6)</calculatedColumnFormula>
    </tableColumn>
    <tableColumn id="10" xr3:uid="{3300C4AF-948C-4C1C-87AA-932C62F492EA}" name="Column10" dataDxfId="22">
      <calculatedColumnFormula>SUM(H6:I6)</calculatedColumnFormula>
    </tableColumn>
    <tableColumn id="11" xr3:uid="{0BE64AF3-FC0C-439C-BBD2-B16B40B3D6B8}" name="Column11" dataDxfId="21">
      <calculatedColumnFormula>J6-K6</calculatedColumnFormula>
    </tableColumn>
    <tableColumn id="12" xr3:uid="{17B7F84E-619D-4E67-AB28-814058823194}" name="Column12" dataDxfId="20">
      <calculatedColumnFormula>IF(L6&lt;67000,10%*J6,"Not Applicable")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"/>
  <sheetViews>
    <sheetView workbookViewId="0">
      <selection sqref="A1:K16"/>
    </sheetView>
  </sheetViews>
  <sheetFormatPr defaultColWidth="12.6640625" defaultRowHeight="15.75" customHeight="1" x14ac:dyDescent="0.25"/>
  <cols>
    <col min="1" max="1" width="7.33203125" customWidth="1"/>
    <col min="2" max="2" width="18.44140625" customWidth="1"/>
    <col min="4" max="4" width="9.6640625" customWidth="1"/>
    <col min="5" max="5" width="9.33203125" customWidth="1"/>
    <col min="6" max="6" width="8.88671875" customWidth="1"/>
    <col min="7" max="7" width="9.109375" customWidth="1"/>
    <col min="8" max="8" width="10.21875" customWidth="1"/>
    <col min="9" max="9" width="11" customWidth="1"/>
    <col min="10" max="10" width="11.77734375" customWidth="1"/>
    <col min="12" max="12" width="8.66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3" t="s">
        <v>11</v>
      </c>
    </row>
    <row r="2" spans="1:13" x14ac:dyDescent="0.25">
      <c r="A2" s="4">
        <v>101</v>
      </c>
      <c r="B2" s="4" t="s">
        <v>27</v>
      </c>
      <c r="C2" s="4" t="s">
        <v>46</v>
      </c>
      <c r="D2" s="6">
        <v>15000</v>
      </c>
      <c r="E2" s="4">
        <f>D2*50%</f>
        <v>7500</v>
      </c>
      <c r="F2" s="4">
        <f>D2*20%</f>
        <v>3000</v>
      </c>
      <c r="G2" s="4">
        <f>D2*10%</f>
        <v>1500</v>
      </c>
      <c r="H2" s="4">
        <f>2500/12</f>
        <v>208.33333333333334</v>
      </c>
      <c r="I2" s="6">
        <f>SUM(D2:F2)</f>
        <v>25500</v>
      </c>
      <c r="J2" s="4">
        <f>SUM(G2:H2)</f>
        <v>1708.3333333333333</v>
      </c>
      <c r="K2" s="6">
        <f>I2-J2</f>
        <v>23791.666666666668</v>
      </c>
      <c r="M2" s="3" t="s">
        <v>12</v>
      </c>
    </row>
    <row r="3" spans="1:13" x14ac:dyDescent="0.25">
      <c r="A3" s="4">
        <v>102</v>
      </c>
      <c r="B3" s="4" t="s">
        <v>28</v>
      </c>
      <c r="C3" s="4" t="s">
        <v>42</v>
      </c>
      <c r="D3" s="6">
        <v>18000</v>
      </c>
      <c r="E3" s="4">
        <f t="shared" ref="E3:E16" si="0">D3*50%</f>
        <v>9000</v>
      </c>
      <c r="F3" s="4">
        <f t="shared" ref="F3:F16" si="1">D3*20%</f>
        <v>3600</v>
      </c>
      <c r="G3" s="4">
        <f t="shared" ref="G3:G16" si="2">D3*10%</f>
        <v>1800</v>
      </c>
      <c r="H3" s="4">
        <f t="shared" ref="H3:H16" si="3">2500/12</f>
        <v>208.33333333333334</v>
      </c>
      <c r="I3" s="6">
        <f t="shared" ref="I3:I16" si="4">SUM(D3:F3)</f>
        <v>30600</v>
      </c>
      <c r="J3" s="4">
        <f t="shared" ref="J3:J16" si="5">SUM(G3:H3)</f>
        <v>2008.3333333333333</v>
      </c>
      <c r="K3" s="6">
        <f t="shared" ref="K3:K16" si="6">I3-J3</f>
        <v>28591.666666666668</v>
      </c>
      <c r="M3" s="3" t="s">
        <v>13</v>
      </c>
    </row>
    <row r="4" spans="1:13" x14ac:dyDescent="0.25">
      <c r="A4" s="4">
        <v>103</v>
      </c>
      <c r="B4" s="4" t="s">
        <v>29</v>
      </c>
      <c r="C4" s="4" t="s">
        <v>43</v>
      </c>
      <c r="D4" s="6">
        <v>16000</v>
      </c>
      <c r="E4" s="4">
        <f t="shared" si="0"/>
        <v>8000</v>
      </c>
      <c r="F4" s="4">
        <f t="shared" si="1"/>
        <v>3200</v>
      </c>
      <c r="G4" s="4">
        <f t="shared" si="2"/>
        <v>1600</v>
      </c>
      <c r="H4" s="4">
        <f t="shared" si="3"/>
        <v>208.33333333333334</v>
      </c>
      <c r="I4" s="6">
        <f t="shared" si="4"/>
        <v>27200</v>
      </c>
      <c r="J4" s="4">
        <f t="shared" si="5"/>
        <v>1808.3333333333333</v>
      </c>
      <c r="K4" s="6">
        <f t="shared" si="6"/>
        <v>25391.666666666668</v>
      </c>
      <c r="M4" s="3" t="s">
        <v>14</v>
      </c>
    </row>
    <row r="5" spans="1:13" x14ac:dyDescent="0.25">
      <c r="A5" s="4">
        <v>104</v>
      </c>
      <c r="B5" s="4" t="s">
        <v>30</v>
      </c>
      <c r="C5" s="4" t="s">
        <v>44</v>
      </c>
      <c r="D5" s="6">
        <v>17000</v>
      </c>
      <c r="E5" s="4">
        <f t="shared" si="0"/>
        <v>8500</v>
      </c>
      <c r="F5" s="4">
        <f t="shared" si="1"/>
        <v>3400</v>
      </c>
      <c r="G5" s="4">
        <f t="shared" si="2"/>
        <v>1700</v>
      </c>
      <c r="H5" s="4">
        <f t="shared" si="3"/>
        <v>208.33333333333334</v>
      </c>
      <c r="I5" s="6">
        <f t="shared" si="4"/>
        <v>28900</v>
      </c>
      <c r="J5" s="4">
        <f t="shared" si="5"/>
        <v>1908.3333333333333</v>
      </c>
      <c r="K5" s="6">
        <f t="shared" si="6"/>
        <v>26991.666666666668</v>
      </c>
      <c r="M5" s="5"/>
    </row>
    <row r="6" spans="1:13" x14ac:dyDescent="0.25">
      <c r="A6" s="4">
        <v>105</v>
      </c>
      <c r="B6" s="4" t="s">
        <v>32</v>
      </c>
      <c r="C6" s="4" t="s">
        <v>45</v>
      </c>
      <c r="D6" s="6">
        <v>20000</v>
      </c>
      <c r="E6" s="4">
        <f t="shared" si="0"/>
        <v>10000</v>
      </c>
      <c r="F6" s="4">
        <f t="shared" si="1"/>
        <v>4000</v>
      </c>
      <c r="G6" s="4">
        <f t="shared" si="2"/>
        <v>2000</v>
      </c>
      <c r="H6" s="4">
        <f t="shared" si="3"/>
        <v>208.33333333333334</v>
      </c>
      <c r="I6" s="6">
        <f t="shared" si="4"/>
        <v>34000</v>
      </c>
      <c r="J6" s="4">
        <f t="shared" si="5"/>
        <v>2208.3333333333335</v>
      </c>
      <c r="K6" s="6">
        <f t="shared" si="6"/>
        <v>31791.666666666668</v>
      </c>
      <c r="M6" s="3" t="s">
        <v>15</v>
      </c>
    </row>
    <row r="7" spans="1:13" x14ac:dyDescent="0.25">
      <c r="A7" s="4">
        <v>106</v>
      </c>
      <c r="B7" s="4" t="s">
        <v>31</v>
      </c>
      <c r="C7" s="4" t="s">
        <v>45</v>
      </c>
      <c r="D7" s="6">
        <v>21000</v>
      </c>
      <c r="E7" s="4">
        <f t="shared" si="0"/>
        <v>10500</v>
      </c>
      <c r="F7" s="4">
        <f t="shared" si="1"/>
        <v>4200</v>
      </c>
      <c r="G7" s="4">
        <f t="shared" si="2"/>
        <v>2100</v>
      </c>
      <c r="H7" s="4">
        <f t="shared" si="3"/>
        <v>208.33333333333334</v>
      </c>
      <c r="I7" s="6">
        <f t="shared" si="4"/>
        <v>35700</v>
      </c>
      <c r="J7" s="4">
        <f t="shared" si="5"/>
        <v>2308.3333333333335</v>
      </c>
      <c r="K7" s="6">
        <f t="shared" si="6"/>
        <v>33391.666666666664</v>
      </c>
      <c r="M7" s="5" t="s">
        <v>16</v>
      </c>
    </row>
    <row r="8" spans="1:13" x14ac:dyDescent="0.25">
      <c r="A8" s="4">
        <v>107</v>
      </c>
      <c r="B8" s="4" t="s">
        <v>33</v>
      </c>
      <c r="C8" s="4" t="s">
        <v>42</v>
      </c>
      <c r="D8" s="6">
        <v>13000</v>
      </c>
      <c r="E8" s="4">
        <f t="shared" si="0"/>
        <v>6500</v>
      </c>
      <c r="F8" s="4">
        <f t="shared" si="1"/>
        <v>2600</v>
      </c>
      <c r="G8" s="4">
        <f t="shared" si="2"/>
        <v>1300</v>
      </c>
      <c r="H8" s="4">
        <f t="shared" si="3"/>
        <v>208.33333333333334</v>
      </c>
      <c r="I8" s="6">
        <f t="shared" si="4"/>
        <v>22100</v>
      </c>
      <c r="J8" s="4">
        <f t="shared" si="5"/>
        <v>1508.3333333333333</v>
      </c>
      <c r="K8" s="6">
        <f t="shared" si="6"/>
        <v>20591.666666666668</v>
      </c>
      <c r="M8" s="5" t="s">
        <v>17</v>
      </c>
    </row>
    <row r="9" spans="1:13" x14ac:dyDescent="0.25">
      <c r="A9" s="4">
        <v>108</v>
      </c>
      <c r="B9" s="4" t="s">
        <v>34</v>
      </c>
      <c r="C9" s="4" t="s">
        <v>46</v>
      </c>
      <c r="D9" s="6">
        <v>14000</v>
      </c>
      <c r="E9" s="4">
        <f t="shared" si="0"/>
        <v>7000</v>
      </c>
      <c r="F9" s="4">
        <f t="shared" si="1"/>
        <v>2800</v>
      </c>
      <c r="G9" s="4">
        <f t="shared" si="2"/>
        <v>1400</v>
      </c>
      <c r="H9" s="4">
        <f t="shared" si="3"/>
        <v>208.33333333333334</v>
      </c>
      <c r="I9" s="6">
        <f t="shared" si="4"/>
        <v>23800</v>
      </c>
      <c r="J9" s="4">
        <f t="shared" si="5"/>
        <v>1608.3333333333333</v>
      </c>
      <c r="K9" s="6">
        <f t="shared" si="6"/>
        <v>22191.666666666668</v>
      </c>
      <c r="M9" s="5" t="s">
        <v>18</v>
      </c>
    </row>
    <row r="10" spans="1:13" x14ac:dyDescent="0.25">
      <c r="A10" s="4">
        <v>109</v>
      </c>
      <c r="B10" s="4" t="s">
        <v>35</v>
      </c>
      <c r="C10" s="4" t="s">
        <v>44</v>
      </c>
      <c r="D10" s="6">
        <v>17000</v>
      </c>
      <c r="E10" s="4">
        <f t="shared" si="0"/>
        <v>8500</v>
      </c>
      <c r="F10" s="4">
        <f t="shared" si="1"/>
        <v>3400</v>
      </c>
      <c r="G10" s="4">
        <f t="shared" si="2"/>
        <v>1700</v>
      </c>
      <c r="H10" s="4">
        <f t="shared" si="3"/>
        <v>208.33333333333334</v>
      </c>
      <c r="I10" s="6">
        <f t="shared" si="4"/>
        <v>28900</v>
      </c>
      <c r="J10" s="4">
        <f t="shared" si="5"/>
        <v>1908.3333333333333</v>
      </c>
      <c r="K10" s="6">
        <f t="shared" si="6"/>
        <v>26991.666666666668</v>
      </c>
      <c r="M10" s="5" t="s">
        <v>19</v>
      </c>
    </row>
    <row r="11" spans="1:13" x14ac:dyDescent="0.25">
      <c r="A11" s="4">
        <v>110</v>
      </c>
      <c r="B11" s="4" t="s">
        <v>36</v>
      </c>
      <c r="C11" s="4" t="s">
        <v>43</v>
      </c>
      <c r="D11" s="6">
        <v>21000</v>
      </c>
      <c r="E11" s="4">
        <f t="shared" si="0"/>
        <v>10500</v>
      </c>
      <c r="F11" s="4">
        <f t="shared" si="1"/>
        <v>4200</v>
      </c>
      <c r="G11" s="4">
        <f t="shared" si="2"/>
        <v>2100</v>
      </c>
      <c r="H11" s="4">
        <f t="shared" si="3"/>
        <v>208.33333333333334</v>
      </c>
      <c r="I11" s="6">
        <f t="shared" si="4"/>
        <v>35700</v>
      </c>
      <c r="J11" s="4">
        <f t="shared" si="5"/>
        <v>2308.3333333333335</v>
      </c>
      <c r="K11" s="6">
        <f t="shared" si="6"/>
        <v>33391.666666666664</v>
      </c>
      <c r="M11" s="3" t="s">
        <v>20</v>
      </c>
    </row>
    <row r="12" spans="1:13" x14ac:dyDescent="0.25">
      <c r="A12" s="4">
        <v>111</v>
      </c>
      <c r="B12" s="4" t="s">
        <v>37</v>
      </c>
      <c r="C12" s="4" t="s">
        <v>46</v>
      </c>
      <c r="D12" s="6">
        <v>19000</v>
      </c>
      <c r="E12" s="4">
        <f t="shared" si="0"/>
        <v>9500</v>
      </c>
      <c r="F12" s="4">
        <f t="shared" si="1"/>
        <v>3800</v>
      </c>
      <c r="G12" s="4">
        <f t="shared" si="2"/>
        <v>1900</v>
      </c>
      <c r="H12" s="4">
        <f t="shared" si="3"/>
        <v>208.33333333333334</v>
      </c>
      <c r="I12" s="6">
        <f t="shared" si="4"/>
        <v>32300</v>
      </c>
      <c r="J12" s="4">
        <f t="shared" si="5"/>
        <v>2108.3333333333335</v>
      </c>
      <c r="K12" s="6">
        <f t="shared" si="6"/>
        <v>30191.666666666668</v>
      </c>
      <c r="M12" s="3" t="s">
        <v>21</v>
      </c>
    </row>
    <row r="13" spans="1:13" x14ac:dyDescent="0.25">
      <c r="A13" s="4">
        <v>112</v>
      </c>
      <c r="B13" s="4" t="s">
        <v>38</v>
      </c>
      <c r="C13" s="4" t="s">
        <v>42</v>
      </c>
      <c r="D13" s="6">
        <v>12000</v>
      </c>
      <c r="E13" s="4">
        <f t="shared" si="0"/>
        <v>6000</v>
      </c>
      <c r="F13" s="4">
        <f t="shared" si="1"/>
        <v>2400</v>
      </c>
      <c r="G13" s="4">
        <f t="shared" si="2"/>
        <v>1200</v>
      </c>
      <c r="H13" s="4">
        <f t="shared" si="3"/>
        <v>208.33333333333334</v>
      </c>
      <c r="I13" s="6">
        <f t="shared" si="4"/>
        <v>20400</v>
      </c>
      <c r="J13" s="4">
        <f t="shared" si="5"/>
        <v>1408.3333333333333</v>
      </c>
      <c r="K13" s="6">
        <f t="shared" si="6"/>
        <v>18991.666666666668</v>
      </c>
      <c r="M13" s="3" t="s">
        <v>22</v>
      </c>
    </row>
    <row r="14" spans="1:13" x14ac:dyDescent="0.25">
      <c r="A14" s="4">
        <v>113</v>
      </c>
      <c r="B14" s="4" t="s">
        <v>39</v>
      </c>
      <c r="C14" s="4" t="s">
        <v>45</v>
      </c>
      <c r="D14" s="6">
        <v>13000</v>
      </c>
      <c r="E14" s="4">
        <f t="shared" si="0"/>
        <v>6500</v>
      </c>
      <c r="F14" s="4">
        <f t="shared" si="1"/>
        <v>2600</v>
      </c>
      <c r="G14" s="4">
        <f t="shared" si="2"/>
        <v>1300</v>
      </c>
      <c r="H14" s="4">
        <f t="shared" si="3"/>
        <v>208.33333333333334</v>
      </c>
      <c r="I14" s="6">
        <f t="shared" si="4"/>
        <v>22100</v>
      </c>
      <c r="J14" s="4">
        <f t="shared" si="5"/>
        <v>1508.3333333333333</v>
      </c>
      <c r="K14" s="6">
        <f t="shared" si="6"/>
        <v>20591.666666666668</v>
      </c>
      <c r="M14" s="3" t="s">
        <v>23</v>
      </c>
    </row>
    <row r="15" spans="1:13" x14ac:dyDescent="0.25">
      <c r="A15" s="4">
        <v>114</v>
      </c>
      <c r="B15" s="4" t="s">
        <v>40</v>
      </c>
      <c r="C15" s="4" t="s">
        <v>44</v>
      </c>
      <c r="D15" s="6">
        <v>20000</v>
      </c>
      <c r="E15" s="4">
        <f t="shared" si="0"/>
        <v>10000</v>
      </c>
      <c r="F15" s="4">
        <f t="shared" si="1"/>
        <v>4000</v>
      </c>
      <c r="G15" s="4">
        <f t="shared" si="2"/>
        <v>2000</v>
      </c>
      <c r="H15" s="4">
        <f t="shared" si="3"/>
        <v>208.33333333333334</v>
      </c>
      <c r="I15" s="6">
        <f t="shared" si="4"/>
        <v>34000</v>
      </c>
      <c r="J15" s="4">
        <f t="shared" si="5"/>
        <v>2208.3333333333335</v>
      </c>
      <c r="K15" s="6">
        <f t="shared" si="6"/>
        <v>31791.666666666668</v>
      </c>
      <c r="M15" s="3" t="s">
        <v>24</v>
      </c>
    </row>
    <row r="16" spans="1:13" x14ac:dyDescent="0.25">
      <c r="A16" s="4">
        <v>115</v>
      </c>
      <c r="B16" s="4" t="s">
        <v>41</v>
      </c>
      <c r="C16" s="4" t="s">
        <v>43</v>
      </c>
      <c r="D16" s="6">
        <v>23000</v>
      </c>
      <c r="E16" s="4">
        <f t="shared" si="0"/>
        <v>11500</v>
      </c>
      <c r="F16" s="4">
        <f t="shared" si="1"/>
        <v>4600</v>
      </c>
      <c r="G16" s="4">
        <f t="shared" si="2"/>
        <v>2300</v>
      </c>
      <c r="H16" s="4">
        <f t="shared" si="3"/>
        <v>208.33333333333334</v>
      </c>
      <c r="I16" s="6">
        <f t="shared" si="4"/>
        <v>39100</v>
      </c>
      <c r="J16" s="4">
        <f t="shared" si="5"/>
        <v>2508.3333333333335</v>
      </c>
      <c r="K16" s="6">
        <f t="shared" si="6"/>
        <v>36591.666666666664</v>
      </c>
      <c r="M16" s="3" t="s">
        <v>25</v>
      </c>
    </row>
    <row r="17" spans="13:13" x14ac:dyDescent="0.25">
      <c r="M17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F939-7B48-4307-9412-0AD51C95FAE0}">
  <dimension ref="B3:M20"/>
  <sheetViews>
    <sheetView workbookViewId="0">
      <selection activeCell="M1" sqref="M1"/>
    </sheetView>
  </sheetViews>
  <sheetFormatPr defaultRowHeight="13.2" x14ac:dyDescent="0.25"/>
  <cols>
    <col min="2" max="2" width="9.88671875" customWidth="1"/>
    <col min="3" max="3" width="19" customWidth="1"/>
    <col min="4" max="4" width="14.33203125" customWidth="1"/>
    <col min="5" max="5" width="12.33203125" customWidth="1"/>
    <col min="9" max="9" width="13.33203125" bestFit="1" customWidth="1"/>
    <col min="11" max="11" width="12.77734375" customWidth="1"/>
    <col min="12" max="12" width="10.33203125" customWidth="1"/>
    <col min="13" max="13" width="13.77734375" customWidth="1"/>
  </cols>
  <sheetData>
    <row r="3" spans="2:13" ht="21" x14ac:dyDescent="0.4">
      <c r="E3" s="15" t="s">
        <v>62</v>
      </c>
      <c r="I3" s="7"/>
    </row>
    <row r="5" spans="2:13" ht="13.8" x14ac:dyDescent="0.25">
      <c r="B5" s="11" t="s">
        <v>0</v>
      </c>
      <c r="C5" s="1" t="s">
        <v>1</v>
      </c>
      <c r="D5" s="1" t="s">
        <v>2</v>
      </c>
      <c r="E5" s="1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10" t="s">
        <v>47</v>
      </c>
    </row>
    <row r="6" spans="2:13" ht="13.8" x14ac:dyDescent="0.25">
      <c r="B6" s="12">
        <v>101</v>
      </c>
      <c r="C6" s="4" t="s">
        <v>27</v>
      </c>
      <c r="D6" s="4" t="s">
        <v>46</v>
      </c>
      <c r="E6" s="6">
        <v>80000</v>
      </c>
      <c r="F6" s="4">
        <f>E6*50%</f>
        <v>40000</v>
      </c>
      <c r="G6" s="4">
        <f>E6*20%</f>
        <v>16000</v>
      </c>
      <c r="H6" s="4">
        <f>E6*10%</f>
        <v>8000</v>
      </c>
      <c r="I6" s="9">
        <f>2500/12</f>
        <v>208.33333333333334</v>
      </c>
      <c r="J6" s="6">
        <f>SUM(E6:G6)</f>
        <v>136000</v>
      </c>
      <c r="K6" s="4">
        <f>SUM(H6:I6)</f>
        <v>8208.3333333333339</v>
      </c>
      <c r="L6" s="6">
        <f>J6-K6</f>
        <v>127791.66666666667</v>
      </c>
      <c r="M6" s="13" t="str">
        <f>IF(Table2[[#This Row],[Net_Sal]]&lt;67000,10%*J4,"Not Applicable")</f>
        <v>Not Applicable</v>
      </c>
    </row>
    <row r="7" spans="2:13" ht="13.8" x14ac:dyDescent="0.25">
      <c r="B7" s="12">
        <v>102</v>
      </c>
      <c r="C7" s="4" t="s">
        <v>28</v>
      </c>
      <c r="D7" s="4" t="s">
        <v>42</v>
      </c>
      <c r="E7" s="6">
        <v>70000</v>
      </c>
      <c r="F7" s="4">
        <f t="shared" ref="F7:F20" si="0">E7*50%</f>
        <v>35000</v>
      </c>
      <c r="G7" s="4">
        <f t="shared" ref="G7:G20" si="1">E7*20%</f>
        <v>14000</v>
      </c>
      <c r="H7" s="4">
        <f t="shared" ref="H7:H20" si="2">E7*10%</f>
        <v>7000</v>
      </c>
      <c r="I7" s="9">
        <f t="shared" ref="I7:I20" si="3">2500/12</f>
        <v>208.33333333333334</v>
      </c>
      <c r="J7" s="6">
        <f t="shared" ref="J7:J19" si="4">SUM(E7:G7)</f>
        <v>119000</v>
      </c>
      <c r="K7" s="4">
        <f t="shared" ref="K7:K20" si="5">SUM(H7:I7)</f>
        <v>7208.333333333333</v>
      </c>
      <c r="L7" s="6">
        <f t="shared" ref="L7:L20" si="6">J7-K7</f>
        <v>111791.66666666667</v>
      </c>
      <c r="M7" s="13" t="str">
        <f>IF(Table2[[#This Row],[Net_Sal]]&lt;67000,10%*J5,"Not Applicable")</f>
        <v>Not Applicable</v>
      </c>
    </row>
    <row r="8" spans="2:13" ht="13.8" x14ac:dyDescent="0.25">
      <c r="B8" s="12">
        <v>103</v>
      </c>
      <c r="C8" s="4" t="s">
        <v>29</v>
      </c>
      <c r="D8" s="4" t="s">
        <v>43</v>
      </c>
      <c r="E8" s="6">
        <v>50000</v>
      </c>
      <c r="F8" s="4">
        <f t="shared" si="0"/>
        <v>25000</v>
      </c>
      <c r="G8" s="4">
        <f t="shared" si="1"/>
        <v>10000</v>
      </c>
      <c r="H8" s="4">
        <f t="shared" si="2"/>
        <v>5000</v>
      </c>
      <c r="I8" s="9">
        <f t="shared" si="3"/>
        <v>208.33333333333334</v>
      </c>
      <c r="J8" s="6">
        <f t="shared" si="4"/>
        <v>85000</v>
      </c>
      <c r="K8" s="4">
        <f t="shared" si="5"/>
        <v>5208.333333333333</v>
      </c>
      <c r="L8" s="6">
        <f t="shared" si="6"/>
        <v>79791.666666666672</v>
      </c>
      <c r="M8" s="13" t="str">
        <f>IF(Table2[[#This Row],[Net_Sal]]&lt;67000,10%*J6,"Not Applicable")</f>
        <v>Not Applicable</v>
      </c>
    </row>
    <row r="9" spans="2:13" ht="13.8" x14ac:dyDescent="0.25">
      <c r="B9" s="12">
        <v>104</v>
      </c>
      <c r="C9" s="4" t="s">
        <v>30</v>
      </c>
      <c r="D9" s="4" t="s">
        <v>44</v>
      </c>
      <c r="E9" s="6">
        <v>40000</v>
      </c>
      <c r="F9" s="4">
        <f t="shared" si="0"/>
        <v>20000</v>
      </c>
      <c r="G9" s="4">
        <f t="shared" si="1"/>
        <v>8000</v>
      </c>
      <c r="H9" s="4">
        <f t="shared" si="2"/>
        <v>4000</v>
      </c>
      <c r="I9" s="9">
        <f t="shared" si="3"/>
        <v>208.33333333333334</v>
      </c>
      <c r="J9" s="6">
        <f t="shared" si="4"/>
        <v>68000</v>
      </c>
      <c r="K9" s="4">
        <f t="shared" si="5"/>
        <v>4208.333333333333</v>
      </c>
      <c r="L9" s="6">
        <f t="shared" si="6"/>
        <v>63791.666666666664</v>
      </c>
      <c r="M9" s="13">
        <f>IF(Table2[[#This Row],[Net_Sal]]&lt;67000,10%*J7,"Not Applicable")</f>
        <v>11900</v>
      </c>
    </row>
    <row r="10" spans="2:13" ht="13.8" x14ac:dyDescent="0.25">
      <c r="B10" s="12">
        <v>105</v>
      </c>
      <c r="C10" s="4" t="s">
        <v>32</v>
      </c>
      <c r="D10" s="4" t="s">
        <v>45</v>
      </c>
      <c r="E10" s="6">
        <v>37000</v>
      </c>
      <c r="F10" s="4">
        <f t="shared" si="0"/>
        <v>18500</v>
      </c>
      <c r="G10" s="4">
        <f t="shared" si="1"/>
        <v>7400</v>
      </c>
      <c r="H10" s="4">
        <f t="shared" si="2"/>
        <v>3700</v>
      </c>
      <c r="I10" s="9">
        <f t="shared" si="3"/>
        <v>208.33333333333334</v>
      </c>
      <c r="J10" s="6">
        <f t="shared" si="4"/>
        <v>62900</v>
      </c>
      <c r="K10" s="4">
        <f t="shared" si="5"/>
        <v>3908.3333333333335</v>
      </c>
      <c r="L10" s="6">
        <f t="shared" si="6"/>
        <v>58991.666666666664</v>
      </c>
      <c r="M10" s="13">
        <f>IF(Table2[[#This Row],[Net_Sal]]&lt;67000,10%*J8,"Not Applicable")</f>
        <v>8500</v>
      </c>
    </row>
    <row r="11" spans="2:13" ht="13.8" x14ac:dyDescent="0.25">
      <c r="B11" s="12">
        <v>106</v>
      </c>
      <c r="C11" s="4" t="s">
        <v>31</v>
      </c>
      <c r="D11" s="4" t="s">
        <v>45</v>
      </c>
      <c r="E11" s="6">
        <v>60000</v>
      </c>
      <c r="F11" s="4">
        <f t="shared" si="0"/>
        <v>30000</v>
      </c>
      <c r="G11" s="4">
        <f t="shared" si="1"/>
        <v>12000</v>
      </c>
      <c r="H11" s="4">
        <f t="shared" si="2"/>
        <v>6000</v>
      </c>
      <c r="I11" s="9">
        <f t="shared" si="3"/>
        <v>208.33333333333334</v>
      </c>
      <c r="J11" s="6">
        <f t="shared" si="4"/>
        <v>102000</v>
      </c>
      <c r="K11" s="4">
        <f t="shared" si="5"/>
        <v>6208.333333333333</v>
      </c>
      <c r="L11" s="6">
        <f t="shared" si="6"/>
        <v>95791.666666666672</v>
      </c>
      <c r="M11" s="13" t="str">
        <f>IF(Table2[[#This Row],[Net_Sal]]&lt;67000,10%*J9,"Not Applicable")</f>
        <v>Not Applicable</v>
      </c>
    </row>
    <row r="12" spans="2:13" ht="13.8" x14ac:dyDescent="0.25">
      <c r="B12" s="12">
        <v>107</v>
      </c>
      <c r="C12" s="4" t="s">
        <v>33</v>
      </c>
      <c r="D12" s="4" t="s">
        <v>42</v>
      </c>
      <c r="E12" s="6">
        <v>30000</v>
      </c>
      <c r="F12" s="4">
        <f t="shared" si="0"/>
        <v>15000</v>
      </c>
      <c r="G12" s="4">
        <f t="shared" si="1"/>
        <v>6000</v>
      </c>
      <c r="H12" s="4">
        <f t="shared" si="2"/>
        <v>3000</v>
      </c>
      <c r="I12" s="9">
        <f t="shared" si="3"/>
        <v>208.33333333333334</v>
      </c>
      <c r="J12" s="6">
        <f t="shared" si="4"/>
        <v>51000</v>
      </c>
      <c r="K12" s="4">
        <f t="shared" si="5"/>
        <v>3208.3333333333335</v>
      </c>
      <c r="L12" s="6">
        <f t="shared" si="6"/>
        <v>47791.666666666664</v>
      </c>
      <c r="M12" s="13">
        <f>IF(Table2[[#This Row],[Net_Sal]]&lt;67000,10%*J10,"Not Applicable")</f>
        <v>6290</v>
      </c>
    </row>
    <row r="13" spans="2:13" ht="13.8" x14ac:dyDescent="0.25">
      <c r="B13" s="12">
        <v>108</v>
      </c>
      <c r="C13" s="4" t="s">
        <v>34</v>
      </c>
      <c r="D13" s="4" t="s">
        <v>46</v>
      </c>
      <c r="E13" s="6">
        <v>47000</v>
      </c>
      <c r="F13" s="4">
        <f t="shared" si="0"/>
        <v>23500</v>
      </c>
      <c r="G13" s="4">
        <f t="shared" si="1"/>
        <v>9400</v>
      </c>
      <c r="H13" s="4">
        <f t="shared" si="2"/>
        <v>4700</v>
      </c>
      <c r="I13" s="9">
        <f t="shared" si="3"/>
        <v>208.33333333333334</v>
      </c>
      <c r="J13" s="6">
        <f t="shared" si="4"/>
        <v>79900</v>
      </c>
      <c r="K13" s="4">
        <f t="shared" si="5"/>
        <v>4908.333333333333</v>
      </c>
      <c r="L13" s="6">
        <f t="shared" si="6"/>
        <v>74991.666666666672</v>
      </c>
      <c r="M13" s="13" t="str">
        <f>IF(Table2[[#This Row],[Net_Sal]]&lt;67000,10%*J11,"Not Applicable")</f>
        <v>Not Applicable</v>
      </c>
    </row>
    <row r="14" spans="2:13" ht="13.8" x14ac:dyDescent="0.25">
      <c r="B14" s="12">
        <v>109</v>
      </c>
      <c r="C14" s="4" t="s">
        <v>35</v>
      </c>
      <c r="D14" s="4" t="s">
        <v>44</v>
      </c>
      <c r="E14" s="6">
        <v>61000</v>
      </c>
      <c r="F14" s="4">
        <f t="shared" si="0"/>
        <v>30500</v>
      </c>
      <c r="G14" s="4">
        <f t="shared" si="1"/>
        <v>12200</v>
      </c>
      <c r="H14" s="4">
        <f t="shared" si="2"/>
        <v>6100</v>
      </c>
      <c r="I14" s="9">
        <f t="shared" si="3"/>
        <v>208.33333333333334</v>
      </c>
      <c r="J14" s="6">
        <f t="shared" si="4"/>
        <v>103700</v>
      </c>
      <c r="K14" s="4">
        <f t="shared" si="5"/>
        <v>6308.333333333333</v>
      </c>
      <c r="L14" s="6">
        <f t="shared" si="6"/>
        <v>97391.666666666672</v>
      </c>
      <c r="M14" s="13" t="str">
        <f>IF(Table2[[#This Row],[Net_Sal]]&lt;67000,10%*J12,"Not Applicable")</f>
        <v>Not Applicable</v>
      </c>
    </row>
    <row r="15" spans="2:13" ht="13.8" x14ac:dyDescent="0.25">
      <c r="B15" s="12">
        <v>110</v>
      </c>
      <c r="C15" s="4" t="s">
        <v>36</v>
      </c>
      <c r="D15" s="4" t="s">
        <v>43</v>
      </c>
      <c r="E15" s="8">
        <v>10000</v>
      </c>
      <c r="F15" s="4">
        <f t="shared" si="0"/>
        <v>5000</v>
      </c>
      <c r="G15" s="4">
        <f t="shared" si="1"/>
        <v>2000</v>
      </c>
      <c r="H15" s="4">
        <f t="shared" si="2"/>
        <v>1000</v>
      </c>
      <c r="I15" s="9">
        <f t="shared" si="3"/>
        <v>208.33333333333334</v>
      </c>
      <c r="J15" s="6">
        <f t="shared" si="4"/>
        <v>17000</v>
      </c>
      <c r="K15" s="4">
        <f t="shared" si="5"/>
        <v>1208.3333333333333</v>
      </c>
      <c r="L15" s="6">
        <f t="shared" si="6"/>
        <v>15791.666666666666</v>
      </c>
      <c r="M15" s="13">
        <f>IF(Table2[[#This Row],[Net_Sal]]&lt;67000,10%*J13,"Not Applicable")</f>
        <v>7990</v>
      </c>
    </row>
    <row r="16" spans="2:13" ht="13.8" x14ac:dyDescent="0.25">
      <c r="B16" s="12">
        <v>111</v>
      </c>
      <c r="C16" s="4" t="s">
        <v>37</v>
      </c>
      <c r="D16" s="4" t="s">
        <v>46</v>
      </c>
      <c r="E16" s="6">
        <v>75000</v>
      </c>
      <c r="F16" s="4">
        <f t="shared" si="0"/>
        <v>37500</v>
      </c>
      <c r="G16" s="4">
        <f t="shared" si="1"/>
        <v>15000</v>
      </c>
      <c r="H16" s="4">
        <f t="shared" si="2"/>
        <v>7500</v>
      </c>
      <c r="I16" s="9">
        <f t="shared" si="3"/>
        <v>208.33333333333334</v>
      </c>
      <c r="J16" s="6">
        <f t="shared" si="4"/>
        <v>127500</v>
      </c>
      <c r="K16" s="4">
        <f t="shared" si="5"/>
        <v>7708.333333333333</v>
      </c>
      <c r="L16" s="6">
        <f t="shared" si="6"/>
        <v>119791.66666666667</v>
      </c>
      <c r="M16" s="13" t="str">
        <f>IF(Table2[[#This Row],[Net_Sal]]&lt;67000,10%*J14,"Not Applicable")</f>
        <v>Not Applicable</v>
      </c>
    </row>
    <row r="17" spans="2:13" ht="13.8" x14ac:dyDescent="0.25">
      <c r="B17" s="12">
        <v>112</v>
      </c>
      <c r="C17" s="4" t="s">
        <v>38</v>
      </c>
      <c r="D17" s="4" t="s">
        <v>42</v>
      </c>
      <c r="E17" s="6">
        <v>71000</v>
      </c>
      <c r="F17" s="4">
        <f t="shared" si="0"/>
        <v>35500</v>
      </c>
      <c r="G17" s="4">
        <f t="shared" si="1"/>
        <v>14200</v>
      </c>
      <c r="H17" s="4">
        <f t="shared" si="2"/>
        <v>7100</v>
      </c>
      <c r="I17" s="9">
        <f t="shared" si="3"/>
        <v>208.33333333333334</v>
      </c>
      <c r="J17" s="6">
        <f t="shared" si="4"/>
        <v>120700</v>
      </c>
      <c r="K17" s="4">
        <f t="shared" si="5"/>
        <v>7308.333333333333</v>
      </c>
      <c r="L17" s="6">
        <f t="shared" si="6"/>
        <v>113391.66666666667</v>
      </c>
      <c r="M17" s="13" t="str">
        <f>IF(Table2[[#This Row],[Net_Sal]]&lt;67000,10%*J15,"Not Applicable")</f>
        <v>Not Applicable</v>
      </c>
    </row>
    <row r="18" spans="2:13" ht="13.8" x14ac:dyDescent="0.25">
      <c r="B18" s="12">
        <v>113</v>
      </c>
      <c r="C18" s="4" t="s">
        <v>39</v>
      </c>
      <c r="D18" s="4" t="s">
        <v>45</v>
      </c>
      <c r="E18" s="6">
        <v>55000</v>
      </c>
      <c r="F18" s="4">
        <f t="shared" si="0"/>
        <v>27500</v>
      </c>
      <c r="G18" s="4">
        <f t="shared" si="1"/>
        <v>11000</v>
      </c>
      <c r="H18" s="4">
        <f t="shared" si="2"/>
        <v>5500</v>
      </c>
      <c r="I18" s="9">
        <f t="shared" si="3"/>
        <v>208.33333333333334</v>
      </c>
      <c r="J18" s="6">
        <f t="shared" si="4"/>
        <v>93500</v>
      </c>
      <c r="K18" s="4">
        <f t="shared" si="5"/>
        <v>5708.333333333333</v>
      </c>
      <c r="L18" s="6">
        <f t="shared" si="6"/>
        <v>87791.666666666672</v>
      </c>
      <c r="M18" s="13" t="str">
        <f>IF(Table2[[#This Row],[Net_Sal]]&lt;67000,10%*J16,"Not Applicable")</f>
        <v>Not Applicable</v>
      </c>
    </row>
    <row r="19" spans="2:13" ht="13.8" x14ac:dyDescent="0.25">
      <c r="B19" s="12">
        <v>114</v>
      </c>
      <c r="C19" s="4" t="s">
        <v>40</v>
      </c>
      <c r="D19" s="4" t="s">
        <v>44</v>
      </c>
      <c r="E19" s="6">
        <v>44000</v>
      </c>
      <c r="F19" s="4">
        <f t="shared" si="0"/>
        <v>22000</v>
      </c>
      <c r="G19" s="4">
        <f t="shared" si="1"/>
        <v>8800</v>
      </c>
      <c r="H19" s="4">
        <f t="shared" si="2"/>
        <v>4400</v>
      </c>
      <c r="I19" s="9">
        <f t="shared" si="3"/>
        <v>208.33333333333334</v>
      </c>
      <c r="J19" s="6">
        <f t="shared" si="4"/>
        <v>74800</v>
      </c>
      <c r="K19" s="4">
        <f t="shared" si="5"/>
        <v>4608.333333333333</v>
      </c>
      <c r="L19" s="6">
        <f t="shared" si="6"/>
        <v>70191.666666666672</v>
      </c>
      <c r="M19" s="13" t="str">
        <f>IF(Table2[[#This Row],[Net_Sal]]&lt;67000,10%*J17,"Not Applicable")</f>
        <v>Not Applicable</v>
      </c>
    </row>
    <row r="20" spans="2:13" ht="13.8" x14ac:dyDescent="0.25">
      <c r="B20" s="12">
        <v>115</v>
      </c>
      <c r="C20" s="4" t="s">
        <v>41</v>
      </c>
      <c r="D20" s="4" t="s">
        <v>43</v>
      </c>
      <c r="E20" s="6">
        <v>18000</v>
      </c>
      <c r="F20" s="4">
        <f t="shared" si="0"/>
        <v>9000</v>
      </c>
      <c r="G20" s="4">
        <f t="shared" si="1"/>
        <v>3600</v>
      </c>
      <c r="H20" s="4">
        <f t="shared" si="2"/>
        <v>1800</v>
      </c>
      <c r="I20" s="9">
        <f t="shared" si="3"/>
        <v>208.33333333333334</v>
      </c>
      <c r="J20" s="6">
        <f>SUM(E20:G20)</f>
        <v>30600</v>
      </c>
      <c r="K20" s="4">
        <f t="shared" si="5"/>
        <v>2008.3333333333333</v>
      </c>
      <c r="L20" s="6">
        <f t="shared" si="6"/>
        <v>28591.666666666668</v>
      </c>
      <c r="M20" s="13">
        <f>IF(Table2[[#This Row],[Net_Sal]]&lt;67000,10%*J18,"Not Applicable")</f>
        <v>9350</v>
      </c>
    </row>
  </sheetData>
  <conditionalFormatting sqref="E6:E20">
    <cfRule type="top10" dxfId="5" priority="2" rank="8"/>
  </conditionalFormatting>
  <conditionalFormatting sqref="F6:F20">
    <cfRule type="iconSet" priority="6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G6:G20">
    <cfRule type="iconSet" priority="7">
      <iconSet iconSet="3Signs">
        <cfvo type="percent" val="0"/>
        <cfvo type="percent" val="33"/>
        <cfvo type="percent" val="67"/>
      </iconSet>
    </cfRule>
  </conditionalFormatting>
  <conditionalFormatting sqref="H6:H2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I20">
    <cfRule type="duplicateValues" dxfId="4" priority="5"/>
  </conditionalFormatting>
  <conditionalFormatting sqref="K6:K2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{D02509B2-66A1-4901-BEE4-F387D139071C}</x14:id>
        </ext>
      </extLst>
    </cfRule>
  </conditionalFormatting>
  <conditionalFormatting sqref="M6:M20">
    <cfRule type="expression" priority="1" stopIfTrue="1">
      <formula>"Not Applicable"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2509B2-66A1-4901-BEE4-F387D13907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K6:K20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59B2-82B6-471E-A021-8637117A8DC2}">
  <dimension ref="B2:N21"/>
  <sheetViews>
    <sheetView workbookViewId="0">
      <selection activeCell="B6" sqref="B6:M21"/>
    </sheetView>
  </sheetViews>
  <sheetFormatPr defaultRowHeight="13.2" x14ac:dyDescent="0.25"/>
  <cols>
    <col min="2" max="2" width="11.5546875" customWidth="1"/>
    <col min="3" max="3" width="18.44140625" customWidth="1"/>
    <col min="4" max="4" width="16.6640625" customWidth="1"/>
    <col min="5" max="10" width="11.5546875" customWidth="1"/>
    <col min="11" max="12" width="12.6640625" customWidth="1"/>
    <col min="13" max="13" width="13.21875" customWidth="1"/>
  </cols>
  <sheetData>
    <row r="2" spans="2:14" ht="15.6" x14ac:dyDescent="0.3">
      <c r="B2" s="14" t="s">
        <v>61</v>
      </c>
      <c r="C2" s="14"/>
    </row>
    <row r="5" spans="2:14" ht="13.8" x14ac:dyDescent="0.25">
      <c r="B5" s="11" t="s">
        <v>49</v>
      </c>
      <c r="C5" s="1" t="s">
        <v>50</v>
      </c>
      <c r="D5" s="1" t="s">
        <v>51</v>
      </c>
      <c r="E5" s="1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59</v>
      </c>
      <c r="M5" s="10" t="s">
        <v>60</v>
      </c>
      <c r="N5" s="10"/>
    </row>
    <row r="6" spans="2:14" ht="13.8" x14ac:dyDescent="0.25">
      <c r="B6" s="11" t="s">
        <v>0</v>
      </c>
      <c r="C6" s="1" t="s">
        <v>1</v>
      </c>
      <c r="D6" s="1" t="s">
        <v>2</v>
      </c>
      <c r="E6" s="1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10" t="s">
        <v>48</v>
      </c>
    </row>
    <row r="7" spans="2:14" ht="13.8" x14ac:dyDescent="0.25">
      <c r="B7" s="12">
        <v>101</v>
      </c>
      <c r="C7" s="4" t="s">
        <v>27</v>
      </c>
      <c r="D7" s="4" t="s">
        <v>46</v>
      </c>
      <c r="E7" s="6">
        <v>50000</v>
      </c>
      <c r="F7" s="4">
        <f>E7*50%</f>
        <v>25000</v>
      </c>
      <c r="G7" s="4">
        <f>E7*20%</f>
        <v>10000</v>
      </c>
      <c r="H7" s="4">
        <f>E7*10%</f>
        <v>5000</v>
      </c>
      <c r="I7" s="4">
        <f>2500/12</f>
        <v>208.33333333333334</v>
      </c>
      <c r="J7" s="6">
        <f>SUM(E7:G7)</f>
        <v>85000</v>
      </c>
      <c r="K7" s="4">
        <f>SUM(H7:I7)</f>
        <v>5208.333333333333</v>
      </c>
      <c r="L7" s="6">
        <f>J7-K7</f>
        <v>79791.666666666672</v>
      </c>
      <c r="M7" s="13" t="str">
        <f>IF(L7&lt;67000,10%*J7,"Not Applicable")</f>
        <v>Not Applicable</v>
      </c>
    </row>
    <row r="8" spans="2:14" ht="13.8" x14ac:dyDescent="0.25">
      <c r="B8" s="12">
        <v>102</v>
      </c>
      <c r="C8" s="4" t="s">
        <v>28</v>
      </c>
      <c r="D8" s="4" t="s">
        <v>42</v>
      </c>
      <c r="E8" s="6">
        <v>38000</v>
      </c>
      <c r="F8" s="4">
        <f t="shared" ref="F8:F21" si="0">E8*50%</f>
        <v>19000</v>
      </c>
      <c r="G8" s="4">
        <f t="shared" ref="G8:G21" si="1">E8*20%</f>
        <v>7600</v>
      </c>
      <c r="H8" s="4">
        <f t="shared" ref="H8:H21" si="2">E8*10%</f>
        <v>3800</v>
      </c>
      <c r="I8" s="4">
        <f t="shared" ref="I8:I21" si="3">2500/12</f>
        <v>208.33333333333334</v>
      </c>
      <c r="J8" s="6">
        <f t="shared" ref="J8:J21" si="4">SUM(E8:G8)</f>
        <v>64600</v>
      </c>
      <c r="K8" s="4">
        <f t="shared" ref="K8:K21" si="5">SUM(H8:I8)</f>
        <v>4008.3333333333335</v>
      </c>
      <c r="L8" s="6">
        <f t="shared" ref="L8:L21" si="6">J8-K8</f>
        <v>60591.666666666664</v>
      </c>
      <c r="M8" s="13">
        <f t="shared" ref="M8:M21" si="7">IF(L8&lt;67000,10%*J8,"Not Applicable")</f>
        <v>6460</v>
      </c>
    </row>
    <row r="9" spans="2:14" ht="13.8" x14ac:dyDescent="0.25">
      <c r="B9" s="12">
        <v>103</v>
      </c>
      <c r="C9" s="4" t="s">
        <v>29</v>
      </c>
      <c r="D9" s="4" t="s">
        <v>43</v>
      </c>
      <c r="E9" s="6">
        <v>46000</v>
      </c>
      <c r="F9" s="4">
        <f t="shared" si="0"/>
        <v>23000</v>
      </c>
      <c r="G9" s="4">
        <f t="shared" si="1"/>
        <v>9200</v>
      </c>
      <c r="H9" s="4">
        <f t="shared" si="2"/>
        <v>4600</v>
      </c>
      <c r="I9" s="4">
        <f t="shared" si="3"/>
        <v>208.33333333333334</v>
      </c>
      <c r="J9" s="6">
        <f t="shared" si="4"/>
        <v>78200</v>
      </c>
      <c r="K9" s="4">
        <f t="shared" si="5"/>
        <v>4808.333333333333</v>
      </c>
      <c r="L9" s="6">
        <f t="shared" si="6"/>
        <v>73391.666666666672</v>
      </c>
      <c r="M9" s="13" t="str">
        <f t="shared" si="7"/>
        <v>Not Applicable</v>
      </c>
    </row>
    <row r="10" spans="2:14" ht="13.8" x14ac:dyDescent="0.25">
      <c r="B10" s="12">
        <v>104</v>
      </c>
      <c r="C10" s="4" t="s">
        <v>30</v>
      </c>
      <c r="D10" s="4" t="s">
        <v>44</v>
      </c>
      <c r="E10" s="6">
        <v>17000</v>
      </c>
      <c r="F10" s="4">
        <f t="shared" si="0"/>
        <v>8500</v>
      </c>
      <c r="G10" s="4">
        <f t="shared" si="1"/>
        <v>3400</v>
      </c>
      <c r="H10" s="4">
        <f t="shared" si="2"/>
        <v>1700</v>
      </c>
      <c r="I10" s="4">
        <f t="shared" si="3"/>
        <v>208.33333333333334</v>
      </c>
      <c r="J10" s="6">
        <f t="shared" si="4"/>
        <v>28900</v>
      </c>
      <c r="K10" s="4">
        <f t="shared" si="5"/>
        <v>1908.3333333333333</v>
      </c>
      <c r="L10" s="6">
        <f t="shared" si="6"/>
        <v>26991.666666666668</v>
      </c>
      <c r="M10" s="13">
        <f t="shared" si="7"/>
        <v>2890</v>
      </c>
    </row>
    <row r="11" spans="2:14" ht="13.8" x14ac:dyDescent="0.25">
      <c r="B11" s="12">
        <v>105</v>
      </c>
      <c r="C11" s="4" t="s">
        <v>32</v>
      </c>
      <c r="D11" s="4" t="s">
        <v>45</v>
      </c>
      <c r="E11" s="6">
        <v>20000</v>
      </c>
      <c r="F11" s="4">
        <f t="shared" si="0"/>
        <v>10000</v>
      </c>
      <c r="G11" s="4">
        <f t="shared" si="1"/>
        <v>4000</v>
      </c>
      <c r="H11" s="4">
        <f t="shared" si="2"/>
        <v>2000</v>
      </c>
      <c r="I11" s="4">
        <f t="shared" si="3"/>
        <v>208.33333333333334</v>
      </c>
      <c r="J11" s="6">
        <f t="shared" si="4"/>
        <v>34000</v>
      </c>
      <c r="K11" s="4">
        <f t="shared" si="5"/>
        <v>2208.3333333333335</v>
      </c>
      <c r="L11" s="6">
        <f t="shared" si="6"/>
        <v>31791.666666666668</v>
      </c>
      <c r="M11" s="13">
        <f t="shared" si="7"/>
        <v>3400</v>
      </c>
    </row>
    <row r="12" spans="2:14" ht="13.8" x14ac:dyDescent="0.25">
      <c r="B12" s="12">
        <v>106</v>
      </c>
      <c r="C12" s="4" t="s">
        <v>31</v>
      </c>
      <c r="D12" s="4" t="s">
        <v>45</v>
      </c>
      <c r="E12" s="6">
        <v>21000</v>
      </c>
      <c r="F12" s="4">
        <f t="shared" si="0"/>
        <v>10500</v>
      </c>
      <c r="G12" s="4">
        <f t="shared" si="1"/>
        <v>4200</v>
      </c>
      <c r="H12" s="4">
        <f t="shared" si="2"/>
        <v>2100</v>
      </c>
      <c r="I12" s="4">
        <f t="shared" si="3"/>
        <v>208.33333333333334</v>
      </c>
      <c r="J12" s="6">
        <f t="shared" si="4"/>
        <v>35700</v>
      </c>
      <c r="K12" s="4">
        <f t="shared" si="5"/>
        <v>2308.3333333333335</v>
      </c>
      <c r="L12" s="6">
        <f t="shared" si="6"/>
        <v>33391.666666666664</v>
      </c>
      <c r="M12" s="13">
        <f t="shared" si="7"/>
        <v>3570</v>
      </c>
    </row>
    <row r="13" spans="2:14" ht="13.8" x14ac:dyDescent="0.25">
      <c r="B13" s="12">
        <v>107</v>
      </c>
      <c r="C13" s="4" t="s">
        <v>33</v>
      </c>
      <c r="D13" s="4" t="s">
        <v>42</v>
      </c>
      <c r="E13" s="6">
        <v>33000</v>
      </c>
      <c r="F13" s="4">
        <f t="shared" si="0"/>
        <v>16500</v>
      </c>
      <c r="G13" s="4">
        <f t="shared" si="1"/>
        <v>6600</v>
      </c>
      <c r="H13" s="4">
        <f t="shared" si="2"/>
        <v>3300</v>
      </c>
      <c r="I13" s="4">
        <f t="shared" si="3"/>
        <v>208.33333333333334</v>
      </c>
      <c r="J13" s="6">
        <f t="shared" si="4"/>
        <v>56100</v>
      </c>
      <c r="K13" s="4">
        <f t="shared" si="5"/>
        <v>3508.3333333333335</v>
      </c>
      <c r="L13" s="6">
        <f t="shared" si="6"/>
        <v>52591.666666666664</v>
      </c>
      <c r="M13" s="13">
        <f t="shared" si="7"/>
        <v>5610</v>
      </c>
    </row>
    <row r="14" spans="2:14" ht="13.8" x14ac:dyDescent="0.25">
      <c r="B14" s="12">
        <v>108</v>
      </c>
      <c r="C14" s="4" t="s">
        <v>34</v>
      </c>
      <c r="D14" s="4" t="s">
        <v>46</v>
      </c>
      <c r="E14" s="6">
        <v>14000</v>
      </c>
      <c r="F14" s="4">
        <f t="shared" si="0"/>
        <v>7000</v>
      </c>
      <c r="G14" s="4">
        <f t="shared" si="1"/>
        <v>2800</v>
      </c>
      <c r="H14" s="4">
        <f t="shared" si="2"/>
        <v>1400</v>
      </c>
      <c r="I14" s="4">
        <f t="shared" si="3"/>
        <v>208.33333333333334</v>
      </c>
      <c r="J14" s="6">
        <f t="shared" si="4"/>
        <v>23800</v>
      </c>
      <c r="K14" s="4">
        <f t="shared" si="5"/>
        <v>1608.3333333333333</v>
      </c>
      <c r="L14" s="6">
        <f t="shared" si="6"/>
        <v>22191.666666666668</v>
      </c>
      <c r="M14" s="13">
        <f t="shared" si="7"/>
        <v>2380</v>
      </c>
    </row>
    <row r="15" spans="2:14" ht="13.8" x14ac:dyDescent="0.25">
      <c r="B15" s="12">
        <v>109</v>
      </c>
      <c r="C15" s="4" t="s">
        <v>35</v>
      </c>
      <c r="D15" s="4" t="s">
        <v>44</v>
      </c>
      <c r="E15" s="6">
        <v>17000</v>
      </c>
      <c r="F15" s="4">
        <f t="shared" si="0"/>
        <v>8500</v>
      </c>
      <c r="G15" s="4">
        <f t="shared" si="1"/>
        <v>3400</v>
      </c>
      <c r="H15" s="4">
        <f t="shared" si="2"/>
        <v>1700</v>
      </c>
      <c r="I15" s="4">
        <f t="shared" si="3"/>
        <v>208.33333333333334</v>
      </c>
      <c r="J15" s="6">
        <f t="shared" si="4"/>
        <v>28900</v>
      </c>
      <c r="K15" s="4">
        <f t="shared" si="5"/>
        <v>1908.3333333333333</v>
      </c>
      <c r="L15" s="6">
        <f t="shared" si="6"/>
        <v>26991.666666666668</v>
      </c>
      <c r="M15" s="13">
        <f t="shared" si="7"/>
        <v>2890</v>
      </c>
    </row>
    <row r="16" spans="2:14" ht="13.8" x14ac:dyDescent="0.25">
      <c r="B16" s="12">
        <v>110</v>
      </c>
      <c r="C16" s="4" t="s">
        <v>36</v>
      </c>
      <c r="D16" s="4" t="s">
        <v>43</v>
      </c>
      <c r="E16" s="6">
        <v>21000</v>
      </c>
      <c r="F16" s="4">
        <f t="shared" si="0"/>
        <v>10500</v>
      </c>
      <c r="G16" s="4">
        <f t="shared" si="1"/>
        <v>4200</v>
      </c>
      <c r="H16" s="4">
        <f t="shared" si="2"/>
        <v>2100</v>
      </c>
      <c r="I16" s="4">
        <f t="shared" si="3"/>
        <v>208.33333333333334</v>
      </c>
      <c r="J16" s="6">
        <f t="shared" si="4"/>
        <v>35700</v>
      </c>
      <c r="K16" s="4">
        <f t="shared" si="5"/>
        <v>2308.3333333333335</v>
      </c>
      <c r="L16" s="6">
        <f t="shared" si="6"/>
        <v>33391.666666666664</v>
      </c>
      <c r="M16" s="13">
        <f t="shared" si="7"/>
        <v>3570</v>
      </c>
    </row>
    <row r="17" spans="2:13" ht="13.8" x14ac:dyDescent="0.25">
      <c r="B17" s="12">
        <v>111</v>
      </c>
      <c r="C17" s="4" t="s">
        <v>37</v>
      </c>
      <c r="D17" s="4" t="s">
        <v>46</v>
      </c>
      <c r="E17" s="6">
        <v>39000</v>
      </c>
      <c r="F17" s="4">
        <f t="shared" si="0"/>
        <v>19500</v>
      </c>
      <c r="G17" s="4">
        <f t="shared" si="1"/>
        <v>7800</v>
      </c>
      <c r="H17" s="4">
        <f t="shared" si="2"/>
        <v>3900</v>
      </c>
      <c r="I17" s="4">
        <f t="shared" si="3"/>
        <v>208.33333333333334</v>
      </c>
      <c r="J17" s="6">
        <f t="shared" si="4"/>
        <v>66300</v>
      </c>
      <c r="K17" s="4">
        <f t="shared" si="5"/>
        <v>4108.333333333333</v>
      </c>
      <c r="L17" s="6">
        <f t="shared" si="6"/>
        <v>62191.666666666664</v>
      </c>
      <c r="M17" s="13">
        <f t="shared" si="7"/>
        <v>6630</v>
      </c>
    </row>
    <row r="18" spans="2:13" ht="13.8" x14ac:dyDescent="0.25">
      <c r="B18" s="12">
        <v>112</v>
      </c>
      <c r="C18" s="4" t="s">
        <v>38</v>
      </c>
      <c r="D18" s="4" t="s">
        <v>42</v>
      </c>
      <c r="E18" s="6">
        <v>42000</v>
      </c>
      <c r="F18" s="4">
        <f t="shared" si="0"/>
        <v>21000</v>
      </c>
      <c r="G18" s="4">
        <f t="shared" si="1"/>
        <v>8400</v>
      </c>
      <c r="H18" s="4">
        <f t="shared" si="2"/>
        <v>4200</v>
      </c>
      <c r="I18" s="4">
        <f t="shared" si="3"/>
        <v>208.33333333333334</v>
      </c>
      <c r="J18" s="6">
        <f t="shared" si="4"/>
        <v>71400</v>
      </c>
      <c r="K18" s="4">
        <f t="shared" si="5"/>
        <v>4408.333333333333</v>
      </c>
      <c r="L18" s="6">
        <f t="shared" si="6"/>
        <v>66991.666666666672</v>
      </c>
      <c r="M18" s="13">
        <f t="shared" si="7"/>
        <v>7140</v>
      </c>
    </row>
    <row r="19" spans="2:13" ht="13.8" x14ac:dyDescent="0.25">
      <c r="B19" s="12">
        <v>113</v>
      </c>
      <c r="C19" s="4" t="s">
        <v>39</v>
      </c>
      <c r="D19" s="4" t="s">
        <v>45</v>
      </c>
      <c r="E19" s="6">
        <v>73000</v>
      </c>
      <c r="F19" s="4">
        <f t="shared" si="0"/>
        <v>36500</v>
      </c>
      <c r="G19" s="4">
        <f t="shared" si="1"/>
        <v>14600</v>
      </c>
      <c r="H19" s="4">
        <f t="shared" si="2"/>
        <v>7300</v>
      </c>
      <c r="I19" s="4">
        <f t="shared" si="3"/>
        <v>208.33333333333334</v>
      </c>
      <c r="J19" s="6">
        <f t="shared" si="4"/>
        <v>124100</v>
      </c>
      <c r="K19" s="4">
        <f t="shared" si="5"/>
        <v>7508.333333333333</v>
      </c>
      <c r="L19" s="6">
        <f t="shared" si="6"/>
        <v>116591.66666666667</v>
      </c>
      <c r="M19" s="13" t="str">
        <f t="shared" si="7"/>
        <v>Not Applicable</v>
      </c>
    </row>
    <row r="20" spans="2:13" ht="13.8" x14ac:dyDescent="0.25">
      <c r="B20" s="12">
        <v>114</v>
      </c>
      <c r="C20" s="4" t="s">
        <v>40</v>
      </c>
      <c r="D20" s="4" t="s">
        <v>44</v>
      </c>
      <c r="E20" s="6">
        <v>50000</v>
      </c>
      <c r="F20" s="4">
        <f t="shared" si="0"/>
        <v>25000</v>
      </c>
      <c r="G20" s="4">
        <f t="shared" si="1"/>
        <v>10000</v>
      </c>
      <c r="H20" s="4">
        <f t="shared" si="2"/>
        <v>5000</v>
      </c>
      <c r="I20" s="4">
        <f t="shared" si="3"/>
        <v>208.33333333333334</v>
      </c>
      <c r="J20" s="6">
        <f t="shared" si="4"/>
        <v>85000</v>
      </c>
      <c r="K20" s="4">
        <f t="shared" si="5"/>
        <v>5208.333333333333</v>
      </c>
      <c r="L20" s="6">
        <f t="shared" si="6"/>
        <v>79791.666666666672</v>
      </c>
      <c r="M20" s="13" t="str">
        <f t="shared" si="7"/>
        <v>Not Applicable</v>
      </c>
    </row>
    <row r="21" spans="2:13" ht="13.8" x14ac:dyDescent="0.25">
      <c r="B21" s="12">
        <v>115</v>
      </c>
      <c r="C21" s="4" t="s">
        <v>41</v>
      </c>
      <c r="D21" s="4" t="s">
        <v>43</v>
      </c>
      <c r="E21" s="6">
        <v>53000</v>
      </c>
      <c r="F21" s="4">
        <f t="shared" si="0"/>
        <v>26500</v>
      </c>
      <c r="G21" s="4">
        <f t="shared" si="1"/>
        <v>10600</v>
      </c>
      <c r="H21" s="4">
        <f t="shared" si="2"/>
        <v>5300</v>
      </c>
      <c r="I21" s="4">
        <f t="shared" si="3"/>
        <v>208.33333333333334</v>
      </c>
      <c r="J21" s="6">
        <f t="shared" si="4"/>
        <v>90100</v>
      </c>
      <c r="K21" s="4">
        <f t="shared" si="5"/>
        <v>5508.333333333333</v>
      </c>
      <c r="L21" s="6">
        <f t="shared" si="6"/>
        <v>84591.666666666672</v>
      </c>
      <c r="M21" s="13" t="str">
        <f t="shared" si="7"/>
        <v>Not Applicable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EFE7-2AA0-4258-8B61-2A6D8CB57C4D}">
  <dimension ref="B2:Q19"/>
  <sheetViews>
    <sheetView workbookViewId="0">
      <selection activeCell="E23" sqref="E23"/>
    </sheetView>
  </sheetViews>
  <sheetFormatPr defaultRowHeight="13.2" x14ac:dyDescent="0.25"/>
  <cols>
    <col min="3" max="3" width="20.77734375" customWidth="1"/>
    <col min="4" max="4" width="23.109375" customWidth="1"/>
    <col min="13" max="13" width="13.88671875" customWidth="1"/>
  </cols>
  <sheetData>
    <row r="2" spans="2:17" ht="24.6" x14ac:dyDescent="0.4">
      <c r="D2" s="23" t="s">
        <v>63</v>
      </c>
    </row>
    <row r="4" spans="2:17" ht="13.8" x14ac:dyDescent="0.25">
      <c r="B4" s="16" t="s">
        <v>0</v>
      </c>
      <c r="C4" s="16" t="s">
        <v>1</v>
      </c>
      <c r="D4" s="16" t="s">
        <v>2</v>
      </c>
      <c r="E4" s="16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K4" s="17" t="s">
        <v>9</v>
      </c>
      <c r="L4" s="17" t="s">
        <v>10</v>
      </c>
      <c r="M4" s="18" t="s">
        <v>48</v>
      </c>
      <c r="O4" s="24" t="s">
        <v>64</v>
      </c>
      <c r="Q4" s="25" t="s">
        <v>65</v>
      </c>
    </row>
    <row r="5" spans="2:17" ht="13.8" x14ac:dyDescent="0.25">
      <c r="B5" s="4">
        <v>101</v>
      </c>
      <c r="C5" s="4" t="s">
        <v>27</v>
      </c>
      <c r="D5" s="4" t="s">
        <v>46</v>
      </c>
      <c r="E5" s="6">
        <v>50000</v>
      </c>
      <c r="F5" s="4">
        <f>E5*50%</f>
        <v>25000</v>
      </c>
      <c r="G5" s="4">
        <f>E5*20%</f>
        <v>10000</v>
      </c>
      <c r="H5" s="4">
        <f>E5*10%</f>
        <v>5000</v>
      </c>
      <c r="I5" s="4">
        <f>2500/12</f>
        <v>208.33333333333334</v>
      </c>
      <c r="J5" s="6">
        <f>SUM(E5:G5)</f>
        <v>85000</v>
      </c>
      <c r="K5" s="4">
        <f>SUM(H5:I5)</f>
        <v>5208.333333333333</v>
      </c>
      <c r="L5" s="6">
        <f>J5-K5</f>
        <v>79791.666666666672</v>
      </c>
      <c r="M5" s="19" t="str">
        <f>IF(L5&lt;67000,10%*J5,"Not Applicable")</f>
        <v>Not Applicable</v>
      </c>
    </row>
    <row r="6" spans="2:17" ht="13.8" x14ac:dyDescent="0.25">
      <c r="B6" s="20">
        <v>108</v>
      </c>
      <c r="C6" s="20" t="s">
        <v>34</v>
      </c>
      <c r="D6" s="20" t="s">
        <v>46</v>
      </c>
      <c r="E6" s="21">
        <v>14000</v>
      </c>
      <c r="F6" s="20">
        <f>E6*50%</f>
        <v>7000</v>
      </c>
      <c r="G6" s="20">
        <f>E6*20%</f>
        <v>2800</v>
      </c>
      <c r="H6" s="20">
        <f>E6*10%</f>
        <v>1400</v>
      </c>
      <c r="I6" s="20">
        <f>2500/12</f>
        <v>208.33333333333334</v>
      </c>
      <c r="J6" s="21">
        <f>SUM(E6:G6)</f>
        <v>23800</v>
      </c>
      <c r="K6" s="20">
        <f>SUM(H6:I6)</f>
        <v>1608.3333333333333</v>
      </c>
      <c r="L6" s="21">
        <f>J6-K6</f>
        <v>22191.666666666668</v>
      </c>
      <c r="M6" s="22">
        <f>IF(L6&lt;67000,10%*J6,"Not Applicable")</f>
        <v>2380</v>
      </c>
    </row>
    <row r="7" spans="2:17" ht="13.8" x14ac:dyDescent="0.25">
      <c r="B7" s="4">
        <v>111</v>
      </c>
      <c r="C7" s="4" t="s">
        <v>37</v>
      </c>
      <c r="D7" s="4" t="s">
        <v>46</v>
      </c>
      <c r="E7" s="6">
        <v>39000</v>
      </c>
      <c r="F7" s="4">
        <f>E7*50%</f>
        <v>19500</v>
      </c>
      <c r="G7" s="4">
        <f>E7*20%</f>
        <v>7800</v>
      </c>
      <c r="H7" s="4">
        <f>E7*10%</f>
        <v>3900</v>
      </c>
      <c r="I7" s="4">
        <f>2500/12</f>
        <v>208.33333333333334</v>
      </c>
      <c r="J7" s="6">
        <f>SUM(E7:G7)</f>
        <v>66300</v>
      </c>
      <c r="K7" s="4">
        <f>SUM(H7:I7)</f>
        <v>4108.333333333333</v>
      </c>
      <c r="L7" s="6">
        <f>J7-K7</f>
        <v>62191.666666666664</v>
      </c>
      <c r="M7" s="19">
        <f>IF(L7&lt;67000,10%*J7,"Not Applicable")</f>
        <v>6630</v>
      </c>
    </row>
    <row r="8" spans="2:17" ht="13.8" x14ac:dyDescent="0.25">
      <c r="B8" s="20">
        <v>102</v>
      </c>
      <c r="C8" s="20" t="s">
        <v>28</v>
      </c>
      <c r="D8" s="20" t="s">
        <v>42</v>
      </c>
      <c r="E8" s="21">
        <v>38000</v>
      </c>
      <c r="F8" s="20">
        <f>E8*50%</f>
        <v>19000</v>
      </c>
      <c r="G8" s="20">
        <f>E8*20%</f>
        <v>7600</v>
      </c>
      <c r="H8" s="20">
        <f>E8*10%</f>
        <v>3800</v>
      </c>
      <c r="I8" s="20">
        <f>2500/12</f>
        <v>208.33333333333334</v>
      </c>
      <c r="J8" s="21">
        <f>SUM(E8:G8)</f>
        <v>64600</v>
      </c>
      <c r="K8" s="20">
        <f>SUM(H8:I8)</f>
        <v>4008.3333333333335</v>
      </c>
      <c r="L8" s="21">
        <f>J8-K8</f>
        <v>60591.666666666664</v>
      </c>
      <c r="M8" s="22">
        <f>IF(L8&lt;67000,10%*J8,"Not Applicable")</f>
        <v>6460</v>
      </c>
    </row>
    <row r="9" spans="2:17" ht="13.8" x14ac:dyDescent="0.25">
      <c r="B9" s="4">
        <v>107</v>
      </c>
      <c r="C9" s="4" t="s">
        <v>33</v>
      </c>
      <c r="D9" s="4" t="s">
        <v>42</v>
      </c>
      <c r="E9" s="6">
        <v>33000</v>
      </c>
      <c r="F9" s="4">
        <f>E9*50%</f>
        <v>16500</v>
      </c>
      <c r="G9" s="4">
        <f>E9*20%</f>
        <v>6600</v>
      </c>
      <c r="H9" s="4">
        <f>E9*10%</f>
        <v>3300</v>
      </c>
      <c r="I9" s="4">
        <f>2500/12</f>
        <v>208.33333333333334</v>
      </c>
      <c r="J9" s="6">
        <f>SUM(E9:G9)</f>
        <v>56100</v>
      </c>
      <c r="K9" s="4">
        <f>SUM(H9:I9)</f>
        <v>3508.3333333333335</v>
      </c>
      <c r="L9" s="6">
        <f>J9-K9</f>
        <v>52591.666666666664</v>
      </c>
      <c r="M9" s="19">
        <f>IF(L9&lt;67000,10%*J9,"Not Applicable")</f>
        <v>5610</v>
      </c>
    </row>
    <row r="10" spans="2:17" ht="13.8" x14ac:dyDescent="0.25">
      <c r="B10" s="20">
        <v>112</v>
      </c>
      <c r="C10" s="20" t="s">
        <v>38</v>
      </c>
      <c r="D10" s="20" t="s">
        <v>42</v>
      </c>
      <c r="E10" s="21">
        <v>42000</v>
      </c>
      <c r="F10" s="20">
        <f>E10*50%</f>
        <v>21000</v>
      </c>
      <c r="G10" s="20">
        <f>E10*20%</f>
        <v>8400</v>
      </c>
      <c r="H10" s="20">
        <f>E10*10%</f>
        <v>4200</v>
      </c>
      <c r="I10" s="20">
        <f>2500/12</f>
        <v>208.33333333333334</v>
      </c>
      <c r="J10" s="21">
        <f>SUM(E10:G10)</f>
        <v>71400</v>
      </c>
      <c r="K10" s="20">
        <f>SUM(H10:I10)</f>
        <v>4408.333333333333</v>
      </c>
      <c r="L10" s="21">
        <f>J10-K10</f>
        <v>66991.666666666672</v>
      </c>
      <c r="M10" s="22">
        <f>IF(L10&lt;67000,10%*J10,"Not Applicable")</f>
        <v>7140</v>
      </c>
    </row>
    <row r="11" spans="2:17" ht="13.8" x14ac:dyDescent="0.25">
      <c r="B11" s="4">
        <v>103</v>
      </c>
      <c r="C11" s="4" t="s">
        <v>29</v>
      </c>
      <c r="D11" s="4" t="s">
        <v>43</v>
      </c>
      <c r="E11" s="6">
        <v>46000</v>
      </c>
      <c r="F11" s="4">
        <f>E11*50%</f>
        <v>23000</v>
      </c>
      <c r="G11" s="4">
        <f>E11*20%</f>
        <v>9200</v>
      </c>
      <c r="H11" s="4">
        <f>E11*10%</f>
        <v>4600</v>
      </c>
      <c r="I11" s="4">
        <f>2500/12</f>
        <v>208.33333333333334</v>
      </c>
      <c r="J11" s="6">
        <f>SUM(E11:G11)</f>
        <v>78200</v>
      </c>
      <c r="K11" s="4">
        <f>SUM(H11:I11)</f>
        <v>4808.333333333333</v>
      </c>
      <c r="L11" s="6">
        <f>J11-K11</f>
        <v>73391.666666666672</v>
      </c>
      <c r="M11" s="19" t="str">
        <f>IF(L11&lt;67000,10%*J11,"Not Applicable")</f>
        <v>Not Applicable</v>
      </c>
    </row>
    <row r="12" spans="2:17" ht="13.8" x14ac:dyDescent="0.25">
      <c r="B12" s="20">
        <v>110</v>
      </c>
      <c r="C12" s="20" t="s">
        <v>36</v>
      </c>
      <c r="D12" s="20" t="s">
        <v>43</v>
      </c>
      <c r="E12" s="21">
        <v>21000</v>
      </c>
      <c r="F12" s="20">
        <f>E12*50%</f>
        <v>10500</v>
      </c>
      <c r="G12" s="20">
        <f>E12*20%</f>
        <v>4200</v>
      </c>
      <c r="H12" s="20">
        <f>E12*10%</f>
        <v>2100</v>
      </c>
      <c r="I12" s="20">
        <f>2500/12</f>
        <v>208.33333333333334</v>
      </c>
      <c r="J12" s="21">
        <f>SUM(E12:G12)</f>
        <v>35700</v>
      </c>
      <c r="K12" s="20">
        <f>SUM(H12:I12)</f>
        <v>2308.3333333333335</v>
      </c>
      <c r="L12" s="21">
        <f>J12-K12</f>
        <v>33391.666666666664</v>
      </c>
      <c r="M12" s="22">
        <f>IF(L12&lt;67000,10%*J12,"Not Applicable")</f>
        <v>3570</v>
      </c>
    </row>
    <row r="13" spans="2:17" ht="13.8" x14ac:dyDescent="0.25">
      <c r="B13" s="4">
        <v>115</v>
      </c>
      <c r="C13" s="4" t="s">
        <v>41</v>
      </c>
      <c r="D13" s="4" t="s">
        <v>43</v>
      </c>
      <c r="E13" s="6">
        <v>53000</v>
      </c>
      <c r="F13" s="4">
        <f>E13*50%</f>
        <v>26500</v>
      </c>
      <c r="G13" s="4">
        <f>E13*20%</f>
        <v>10600</v>
      </c>
      <c r="H13" s="4">
        <f>E13*10%</f>
        <v>5300</v>
      </c>
      <c r="I13" s="4">
        <f>2500/12</f>
        <v>208.33333333333334</v>
      </c>
      <c r="J13" s="6">
        <f>SUM(E13:G13)</f>
        <v>90100</v>
      </c>
      <c r="K13" s="4">
        <f>SUM(H13:I13)</f>
        <v>5508.333333333333</v>
      </c>
      <c r="L13" s="6">
        <f>J13-K13</f>
        <v>84591.666666666672</v>
      </c>
      <c r="M13" s="19" t="str">
        <f>IF(L13&lt;67000,10%*J13,"Not Applicable")</f>
        <v>Not Applicable</v>
      </c>
    </row>
    <row r="14" spans="2:17" ht="13.8" x14ac:dyDescent="0.25">
      <c r="B14" s="20">
        <v>104</v>
      </c>
      <c r="C14" s="20" t="s">
        <v>30</v>
      </c>
      <c r="D14" s="20" t="s">
        <v>44</v>
      </c>
      <c r="E14" s="21">
        <v>17000</v>
      </c>
      <c r="F14" s="20">
        <f>E14*50%</f>
        <v>8500</v>
      </c>
      <c r="G14" s="20">
        <f>E14*20%</f>
        <v>3400</v>
      </c>
      <c r="H14" s="20">
        <f>E14*10%</f>
        <v>1700</v>
      </c>
      <c r="I14" s="20">
        <f>2500/12</f>
        <v>208.33333333333334</v>
      </c>
      <c r="J14" s="21">
        <f>SUM(E14:G14)</f>
        <v>28900</v>
      </c>
      <c r="K14" s="20">
        <f>SUM(H14:I14)</f>
        <v>1908.3333333333333</v>
      </c>
      <c r="L14" s="21">
        <f>J14-K14</f>
        <v>26991.666666666668</v>
      </c>
      <c r="M14" s="22">
        <f>IF(L14&lt;67000,10%*J14,"Not Applicable")</f>
        <v>2890</v>
      </c>
    </row>
    <row r="15" spans="2:17" ht="13.8" x14ac:dyDescent="0.25">
      <c r="B15" s="4">
        <v>109</v>
      </c>
      <c r="C15" s="4" t="s">
        <v>35</v>
      </c>
      <c r="D15" s="4" t="s">
        <v>44</v>
      </c>
      <c r="E15" s="6">
        <v>17000</v>
      </c>
      <c r="F15" s="4">
        <f>E15*50%</f>
        <v>8500</v>
      </c>
      <c r="G15" s="4">
        <f>E15*20%</f>
        <v>3400</v>
      </c>
      <c r="H15" s="4">
        <f>E15*10%</f>
        <v>1700</v>
      </c>
      <c r="I15" s="4">
        <f>2500/12</f>
        <v>208.33333333333334</v>
      </c>
      <c r="J15" s="6">
        <f>SUM(E15:G15)</f>
        <v>28900</v>
      </c>
      <c r="K15" s="4">
        <f>SUM(H15:I15)</f>
        <v>1908.3333333333333</v>
      </c>
      <c r="L15" s="6">
        <f>J15-K15</f>
        <v>26991.666666666668</v>
      </c>
      <c r="M15" s="19">
        <f>IF(L15&lt;67000,10%*J15,"Not Applicable")</f>
        <v>2890</v>
      </c>
    </row>
    <row r="16" spans="2:17" ht="13.8" x14ac:dyDescent="0.25">
      <c r="B16" s="20">
        <v>114</v>
      </c>
      <c r="C16" s="20" t="s">
        <v>40</v>
      </c>
      <c r="D16" s="20" t="s">
        <v>44</v>
      </c>
      <c r="E16" s="21">
        <v>50000</v>
      </c>
      <c r="F16" s="20">
        <f>E16*50%</f>
        <v>25000</v>
      </c>
      <c r="G16" s="20">
        <f>E16*20%</f>
        <v>10000</v>
      </c>
      <c r="H16" s="20">
        <f>E16*10%</f>
        <v>5000</v>
      </c>
      <c r="I16" s="20">
        <f>2500/12</f>
        <v>208.33333333333334</v>
      </c>
      <c r="J16" s="21">
        <f>SUM(E16:G16)</f>
        <v>85000</v>
      </c>
      <c r="K16" s="20">
        <f>SUM(H16:I16)</f>
        <v>5208.333333333333</v>
      </c>
      <c r="L16" s="21">
        <f>J16-K16</f>
        <v>79791.666666666672</v>
      </c>
      <c r="M16" s="22" t="str">
        <f>IF(L16&lt;67000,10%*J16,"Not Applicable")</f>
        <v>Not Applicable</v>
      </c>
    </row>
    <row r="17" spans="2:13" ht="13.8" x14ac:dyDescent="0.25">
      <c r="B17" s="4">
        <v>105</v>
      </c>
      <c r="C17" s="4" t="s">
        <v>32</v>
      </c>
      <c r="D17" s="4" t="s">
        <v>45</v>
      </c>
      <c r="E17" s="6">
        <v>20000</v>
      </c>
      <c r="F17" s="4">
        <f>E17*50%</f>
        <v>10000</v>
      </c>
      <c r="G17" s="4">
        <f>E17*20%</f>
        <v>4000</v>
      </c>
      <c r="H17" s="4">
        <f>E17*10%</f>
        <v>2000</v>
      </c>
      <c r="I17" s="4">
        <f>2500/12</f>
        <v>208.33333333333334</v>
      </c>
      <c r="J17" s="6">
        <f>SUM(E17:G17)</f>
        <v>34000</v>
      </c>
      <c r="K17" s="4">
        <f>SUM(H17:I17)</f>
        <v>2208.3333333333335</v>
      </c>
      <c r="L17" s="6">
        <f>J17-K17</f>
        <v>31791.666666666668</v>
      </c>
      <c r="M17" s="19">
        <f>IF(L17&lt;67000,10%*J17,"Not Applicable")</f>
        <v>3400</v>
      </c>
    </row>
    <row r="18" spans="2:13" ht="13.8" x14ac:dyDescent="0.25">
      <c r="B18" s="20">
        <v>106</v>
      </c>
      <c r="C18" s="20" t="s">
        <v>31</v>
      </c>
      <c r="D18" s="20" t="s">
        <v>45</v>
      </c>
      <c r="E18" s="21">
        <v>21000</v>
      </c>
      <c r="F18" s="20">
        <f>E18*50%</f>
        <v>10500</v>
      </c>
      <c r="G18" s="20">
        <f>E18*20%</f>
        <v>4200</v>
      </c>
      <c r="H18" s="20">
        <f>E18*10%</f>
        <v>2100</v>
      </c>
      <c r="I18" s="20">
        <f>2500/12</f>
        <v>208.33333333333334</v>
      </c>
      <c r="J18" s="21">
        <f>SUM(E18:G18)</f>
        <v>35700</v>
      </c>
      <c r="K18" s="20">
        <f>SUM(H18:I18)</f>
        <v>2308.3333333333335</v>
      </c>
      <c r="L18" s="21">
        <f>J18-K18</f>
        <v>33391.666666666664</v>
      </c>
      <c r="M18" s="22">
        <f>IF(L18&lt;67000,10%*J18,"Not Applicable")</f>
        <v>3570</v>
      </c>
    </row>
    <row r="19" spans="2:13" ht="13.8" x14ac:dyDescent="0.25">
      <c r="B19" s="4">
        <v>113</v>
      </c>
      <c r="C19" s="4" t="s">
        <v>39</v>
      </c>
      <c r="D19" s="4" t="s">
        <v>45</v>
      </c>
      <c r="E19" s="6">
        <v>73000</v>
      </c>
      <c r="F19" s="4">
        <f>E19*50%</f>
        <v>36500</v>
      </c>
      <c r="G19" s="4">
        <f>E19*20%</f>
        <v>14600</v>
      </c>
      <c r="H19" s="4">
        <f>E19*10%</f>
        <v>7300</v>
      </c>
      <c r="I19" s="4">
        <f>2500/12</f>
        <v>208.33333333333334</v>
      </c>
      <c r="J19" s="6">
        <f>SUM(E19:G19)</f>
        <v>124100</v>
      </c>
      <c r="K19" s="4">
        <f>SUM(H19:I19)</f>
        <v>7508.333333333333</v>
      </c>
      <c r="L19" s="6">
        <f>J19-K19</f>
        <v>116591.66666666667</v>
      </c>
      <c r="M19" s="19" t="str">
        <f>IF(L19&lt;67000,10%*J19,"Not Applicable")</f>
        <v>Not Applicable</v>
      </c>
    </row>
  </sheetData>
  <sortState xmlns:xlrd2="http://schemas.microsoft.com/office/spreadsheetml/2017/richdata2" ref="B5:M19">
    <sortCondition ref="D5:D19" customList="Sales,Marketing,Training,Admin,Legal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6493-5058-4B95-B50D-6D3801F1EECE}">
  <dimension ref="D6:O21"/>
  <sheetViews>
    <sheetView tabSelected="1" workbookViewId="0">
      <selection activeCell="M6" sqref="M6"/>
    </sheetView>
  </sheetViews>
  <sheetFormatPr defaultRowHeight="13.2" x14ac:dyDescent="0.25"/>
  <cols>
    <col min="15" max="15" width="14.5546875" customWidth="1"/>
  </cols>
  <sheetData>
    <row r="6" spans="4:15" ht="13.8" x14ac:dyDescent="0.25">
      <c r="D6" s="16" t="s">
        <v>0</v>
      </c>
      <c r="E6" s="16" t="s">
        <v>1</v>
      </c>
      <c r="F6" s="16" t="s">
        <v>2</v>
      </c>
      <c r="G6" s="16" t="s">
        <v>3</v>
      </c>
      <c r="H6" s="17" t="s">
        <v>4</v>
      </c>
      <c r="I6" s="17" t="s">
        <v>5</v>
      </c>
      <c r="J6" s="17" t="s">
        <v>6</v>
      </c>
      <c r="K6" s="17" t="s">
        <v>7</v>
      </c>
      <c r="L6" s="17" t="s">
        <v>8</v>
      </c>
      <c r="M6" s="17" t="s">
        <v>9</v>
      </c>
      <c r="N6" s="17" t="s">
        <v>10</v>
      </c>
      <c r="O6" s="18" t="s">
        <v>48</v>
      </c>
    </row>
    <row r="7" spans="4:15" ht="13.8" x14ac:dyDescent="0.25">
      <c r="D7" s="4">
        <v>101</v>
      </c>
      <c r="E7" s="4" t="s">
        <v>27</v>
      </c>
      <c r="F7" s="26" t="s">
        <v>46</v>
      </c>
      <c r="G7" s="6">
        <v>50000</v>
      </c>
      <c r="H7" s="4">
        <f>G7*50%</f>
        <v>25000</v>
      </c>
      <c r="I7" s="4">
        <f>G7*20%</f>
        <v>10000</v>
      </c>
      <c r="J7" s="4">
        <f>G7*10%</f>
        <v>5000</v>
      </c>
      <c r="K7" s="4">
        <f>2500/12</f>
        <v>208.33333333333334</v>
      </c>
      <c r="L7" s="6">
        <f>SUM(G7:I7)</f>
        <v>85000</v>
      </c>
      <c r="M7" s="4">
        <f>SUM(J7:K7)</f>
        <v>5208.333333333333</v>
      </c>
      <c r="N7" s="6">
        <f>L7-M7</f>
        <v>79791.666666666672</v>
      </c>
      <c r="O7" s="19" t="str">
        <f>IF(N7&lt;67000,10%*L7,"Not Applicable")</f>
        <v>Not Applicable</v>
      </c>
    </row>
    <row r="8" spans="4:15" ht="13.8" x14ac:dyDescent="0.25">
      <c r="D8" s="20">
        <v>108</v>
      </c>
      <c r="E8" s="20" t="s">
        <v>34</v>
      </c>
      <c r="F8" s="20" t="s">
        <v>46</v>
      </c>
      <c r="G8" s="21">
        <v>14000</v>
      </c>
      <c r="H8" s="20">
        <f>G8*50%</f>
        <v>7000</v>
      </c>
      <c r="I8" s="20">
        <f>G8*20%</f>
        <v>2800</v>
      </c>
      <c r="J8" s="20">
        <f>G8*10%</f>
        <v>1400</v>
      </c>
      <c r="K8" s="20">
        <f>2500/12</f>
        <v>208.33333333333334</v>
      </c>
      <c r="L8" s="21">
        <f>SUM(G8:I8)</f>
        <v>23800</v>
      </c>
      <c r="M8" s="20">
        <f>SUM(J8:K8)</f>
        <v>1608.3333333333333</v>
      </c>
      <c r="N8" s="21">
        <f>L8-M8</f>
        <v>22191.666666666668</v>
      </c>
      <c r="O8" s="22">
        <f>IF(N8&lt;67000,10%*L8,"Not Applicable")</f>
        <v>2380</v>
      </c>
    </row>
    <row r="9" spans="4:15" ht="13.8" x14ac:dyDescent="0.25">
      <c r="D9" s="20">
        <v>102</v>
      </c>
      <c r="E9" s="20" t="s">
        <v>28</v>
      </c>
      <c r="F9" s="20" t="s">
        <v>42</v>
      </c>
      <c r="G9" s="21">
        <v>38000</v>
      </c>
      <c r="H9" s="20">
        <f>G9*50%</f>
        <v>19000</v>
      </c>
      <c r="I9" s="20">
        <f>G9*20%</f>
        <v>7600</v>
      </c>
      <c r="J9" s="20">
        <f>G9*10%</f>
        <v>3800</v>
      </c>
      <c r="K9" s="20">
        <f>2500/12</f>
        <v>208.33333333333334</v>
      </c>
      <c r="L9" s="21">
        <f>SUM(G9:I9)</f>
        <v>64600</v>
      </c>
      <c r="M9" s="20">
        <f>SUM(J9:K9)</f>
        <v>4008.3333333333335</v>
      </c>
      <c r="N9" s="21">
        <f>L9-M9</f>
        <v>60591.666666666664</v>
      </c>
      <c r="O9" s="22">
        <f>IF(N9&lt;67000,10%*L9,"Not Applicable")</f>
        <v>6460</v>
      </c>
    </row>
    <row r="10" spans="4:15" ht="13.8" x14ac:dyDescent="0.25">
      <c r="D10" s="20">
        <v>110</v>
      </c>
      <c r="E10" s="20" t="s">
        <v>36</v>
      </c>
      <c r="F10" s="20" t="s">
        <v>43</v>
      </c>
      <c r="G10" s="21">
        <v>21000</v>
      </c>
      <c r="H10" s="20">
        <f>G10*50%</f>
        <v>10500</v>
      </c>
      <c r="I10" s="20">
        <f>G10*20%</f>
        <v>4200</v>
      </c>
      <c r="J10" s="20">
        <f>G10*10%</f>
        <v>2100</v>
      </c>
      <c r="K10" s="20">
        <f>2500/12</f>
        <v>208.33333333333334</v>
      </c>
      <c r="L10" s="21">
        <f>SUM(G10:I10)</f>
        <v>35700</v>
      </c>
      <c r="M10" s="20">
        <f>SUM(J10:K10)</f>
        <v>2308.3333333333335</v>
      </c>
      <c r="N10" s="21">
        <f>L10-M10</f>
        <v>33391.666666666664</v>
      </c>
      <c r="O10" s="22">
        <f>IF(N10&lt;67000,10%*L10,"Not Applicable")</f>
        <v>3570</v>
      </c>
    </row>
    <row r="11" spans="4:15" ht="13.8" x14ac:dyDescent="0.25">
      <c r="D11" s="20">
        <v>104</v>
      </c>
      <c r="E11" s="20" t="s">
        <v>30</v>
      </c>
      <c r="F11" s="20" t="s">
        <v>44</v>
      </c>
      <c r="G11" s="21">
        <v>17000</v>
      </c>
      <c r="H11" s="20">
        <f>G11*50%</f>
        <v>8500</v>
      </c>
      <c r="I11" s="20">
        <f>G11*20%</f>
        <v>3400</v>
      </c>
      <c r="J11" s="20">
        <f>G11*10%</f>
        <v>1700</v>
      </c>
      <c r="K11" s="20">
        <f>2500/12</f>
        <v>208.33333333333334</v>
      </c>
      <c r="L11" s="21">
        <f>SUM(G11:I11)</f>
        <v>28900</v>
      </c>
      <c r="M11" s="20">
        <f>SUM(J11:K11)</f>
        <v>1908.3333333333333</v>
      </c>
      <c r="N11" s="21">
        <f>L11-M11</f>
        <v>26991.666666666668</v>
      </c>
      <c r="O11" s="22">
        <f>IF(N11&lt;67000,10%*L11,"Not Applicable")</f>
        <v>2890</v>
      </c>
    </row>
    <row r="12" spans="4:15" ht="13.8" x14ac:dyDescent="0.25">
      <c r="D12" s="20">
        <v>112</v>
      </c>
      <c r="E12" s="20" t="s">
        <v>38</v>
      </c>
      <c r="F12" s="20" t="s">
        <v>42</v>
      </c>
      <c r="G12" s="21">
        <v>42000</v>
      </c>
      <c r="H12" s="20">
        <f>G12*50%</f>
        <v>21000</v>
      </c>
      <c r="I12" s="20">
        <f>G12*20%</f>
        <v>8400</v>
      </c>
      <c r="J12" s="20">
        <f>G12*10%</f>
        <v>4200</v>
      </c>
      <c r="K12" s="20">
        <f>2500/12</f>
        <v>208.33333333333334</v>
      </c>
      <c r="L12" s="21">
        <f>SUM(G12:I12)</f>
        <v>71400</v>
      </c>
      <c r="M12" s="20">
        <f>SUM(J12:K12)</f>
        <v>4408.333333333333</v>
      </c>
      <c r="N12" s="21">
        <f>L12-M12</f>
        <v>66991.666666666672</v>
      </c>
      <c r="O12" s="22">
        <f>IF(N12&lt;67000,10%*L12,"Not Applicable")</f>
        <v>7140</v>
      </c>
    </row>
    <row r="13" spans="4:15" ht="13.8" x14ac:dyDescent="0.25">
      <c r="D13" s="4">
        <v>103</v>
      </c>
      <c r="E13" s="4" t="s">
        <v>29</v>
      </c>
      <c r="F13" s="4" t="s">
        <v>43</v>
      </c>
      <c r="G13" s="6">
        <v>46000</v>
      </c>
      <c r="H13" s="4">
        <f>G13*50%</f>
        <v>23000</v>
      </c>
      <c r="I13" s="4">
        <f>G13*20%</f>
        <v>9200</v>
      </c>
      <c r="J13" s="4">
        <f>G13*10%</f>
        <v>4600</v>
      </c>
      <c r="K13" s="4">
        <f>2500/12</f>
        <v>208.33333333333334</v>
      </c>
      <c r="L13" s="6">
        <f>SUM(G13:I13)</f>
        <v>78200</v>
      </c>
      <c r="M13" s="4">
        <f>SUM(J13:K13)</f>
        <v>4808.333333333333</v>
      </c>
      <c r="N13" s="6">
        <f>L13-M13</f>
        <v>73391.666666666672</v>
      </c>
      <c r="O13" s="19" t="str">
        <f>IF(N13&lt;67000,10%*L13,"Not Applicable")</f>
        <v>Not Applicable</v>
      </c>
    </row>
    <row r="14" spans="4:15" ht="13.8" x14ac:dyDescent="0.25">
      <c r="D14" s="20">
        <v>106</v>
      </c>
      <c r="E14" s="20" t="s">
        <v>31</v>
      </c>
      <c r="F14" s="20" t="s">
        <v>45</v>
      </c>
      <c r="G14" s="21">
        <v>21000</v>
      </c>
      <c r="H14" s="20">
        <f>G14*50%</f>
        <v>10500</v>
      </c>
      <c r="I14" s="20">
        <f>G14*20%</f>
        <v>4200</v>
      </c>
      <c r="J14" s="20">
        <f>G14*10%</f>
        <v>2100</v>
      </c>
      <c r="K14" s="20">
        <f>2500/12</f>
        <v>208.33333333333334</v>
      </c>
      <c r="L14" s="21">
        <f>SUM(G14:I14)</f>
        <v>35700</v>
      </c>
      <c r="M14" s="20">
        <f>SUM(J14:K14)</f>
        <v>2308.3333333333335</v>
      </c>
      <c r="N14" s="21">
        <f>L14-M14</f>
        <v>33391.666666666664</v>
      </c>
      <c r="O14" s="22">
        <f>IF(N14&lt;67000,10%*L14,"Not Applicable")</f>
        <v>3570</v>
      </c>
    </row>
    <row r="15" spans="4:15" ht="13.8" x14ac:dyDescent="0.25">
      <c r="D15" s="4">
        <v>115</v>
      </c>
      <c r="E15" s="4" t="s">
        <v>41</v>
      </c>
      <c r="F15" s="4" t="s">
        <v>43</v>
      </c>
      <c r="G15" s="6">
        <v>53000</v>
      </c>
      <c r="H15" s="4">
        <f>G15*50%</f>
        <v>26500</v>
      </c>
      <c r="I15" s="4">
        <f>G15*20%</f>
        <v>10600</v>
      </c>
      <c r="J15" s="4">
        <f>G15*10%</f>
        <v>5300</v>
      </c>
      <c r="K15" s="4">
        <f>2500/12</f>
        <v>208.33333333333334</v>
      </c>
      <c r="L15" s="6">
        <f>SUM(G15:I15)</f>
        <v>90100</v>
      </c>
      <c r="M15" s="4">
        <f>SUM(J15:K15)</f>
        <v>5508.333333333333</v>
      </c>
      <c r="N15" s="6">
        <f>L15-M15</f>
        <v>84591.666666666672</v>
      </c>
      <c r="O15" s="19" t="str">
        <f>IF(N15&lt;67000,10%*L15,"Not Applicable")</f>
        <v>Not Applicable</v>
      </c>
    </row>
    <row r="16" spans="4:15" ht="13.8" x14ac:dyDescent="0.25">
      <c r="D16" s="4">
        <v>111</v>
      </c>
      <c r="E16" s="4" t="s">
        <v>37</v>
      </c>
      <c r="F16" s="4" t="s">
        <v>46</v>
      </c>
      <c r="G16" s="6">
        <v>39000</v>
      </c>
      <c r="H16" s="4">
        <f>G16*50%</f>
        <v>19500</v>
      </c>
      <c r="I16" s="4">
        <f>G16*20%</f>
        <v>7800</v>
      </c>
      <c r="J16" s="4">
        <f>G16*10%</f>
        <v>3900</v>
      </c>
      <c r="K16" s="4">
        <f>2500/12</f>
        <v>208.33333333333334</v>
      </c>
      <c r="L16" s="6">
        <f>SUM(G16:I16)</f>
        <v>66300</v>
      </c>
      <c r="M16" s="4">
        <f>SUM(J16:K16)</f>
        <v>4108.333333333333</v>
      </c>
      <c r="N16" s="6">
        <f>L16-M16</f>
        <v>62191.666666666664</v>
      </c>
      <c r="O16" s="19">
        <f>IF(N16&lt;67000,10%*L16,"Not Applicable")</f>
        <v>6630</v>
      </c>
    </row>
    <row r="17" spans="4:15" ht="13.8" x14ac:dyDescent="0.25">
      <c r="D17" s="4">
        <v>107</v>
      </c>
      <c r="E17" s="4" t="s">
        <v>33</v>
      </c>
      <c r="F17" s="4" t="s">
        <v>42</v>
      </c>
      <c r="G17" s="6">
        <v>33000</v>
      </c>
      <c r="H17" s="4">
        <f>G17*50%</f>
        <v>16500</v>
      </c>
      <c r="I17" s="4">
        <f>G17*20%</f>
        <v>6600</v>
      </c>
      <c r="J17" s="4">
        <f>G17*10%</f>
        <v>3300</v>
      </c>
      <c r="K17" s="4">
        <f>2500/12</f>
        <v>208.33333333333334</v>
      </c>
      <c r="L17" s="6">
        <f>SUM(G17:I17)</f>
        <v>56100</v>
      </c>
      <c r="M17" s="4">
        <f>SUM(J17:K17)</f>
        <v>3508.3333333333335</v>
      </c>
      <c r="N17" s="6">
        <f>L17-M17</f>
        <v>52591.666666666664</v>
      </c>
      <c r="O17" s="19">
        <f>IF(N17&lt;67000,10%*L17,"Not Applicable")</f>
        <v>5610</v>
      </c>
    </row>
    <row r="18" spans="4:15" ht="13.8" x14ac:dyDescent="0.25">
      <c r="D18" s="20">
        <v>114</v>
      </c>
      <c r="E18" s="20" t="s">
        <v>40</v>
      </c>
      <c r="F18" s="20" t="s">
        <v>44</v>
      </c>
      <c r="G18" s="21">
        <v>50000</v>
      </c>
      <c r="H18" s="20">
        <f>G18*50%</f>
        <v>25000</v>
      </c>
      <c r="I18" s="20">
        <f>G18*20%</f>
        <v>10000</v>
      </c>
      <c r="J18" s="20">
        <f>G18*10%</f>
        <v>5000</v>
      </c>
      <c r="K18" s="20">
        <f>2500/12</f>
        <v>208.33333333333334</v>
      </c>
      <c r="L18" s="21">
        <f>SUM(G18:I18)</f>
        <v>85000</v>
      </c>
      <c r="M18" s="20">
        <f>SUM(J18:K18)</f>
        <v>5208.333333333333</v>
      </c>
      <c r="N18" s="21">
        <f>L18-M18</f>
        <v>79791.666666666672</v>
      </c>
      <c r="O18" s="22" t="str">
        <f>IF(N18&lt;67000,10%*L18,"Not Applicable")</f>
        <v>Not Applicable</v>
      </c>
    </row>
    <row r="19" spans="4:15" ht="13.8" x14ac:dyDescent="0.25">
      <c r="D19" s="4">
        <v>109</v>
      </c>
      <c r="E19" s="4" t="s">
        <v>35</v>
      </c>
      <c r="F19" s="4" t="s">
        <v>44</v>
      </c>
      <c r="G19" s="6">
        <v>17000</v>
      </c>
      <c r="H19" s="4">
        <f>G19*50%</f>
        <v>8500</v>
      </c>
      <c r="I19" s="4">
        <f>G19*20%</f>
        <v>3400</v>
      </c>
      <c r="J19" s="4">
        <f>G19*10%</f>
        <v>1700</v>
      </c>
      <c r="K19" s="4">
        <f>2500/12</f>
        <v>208.33333333333334</v>
      </c>
      <c r="L19" s="6">
        <f>SUM(G19:I19)</f>
        <v>28900</v>
      </c>
      <c r="M19" s="4">
        <f>SUM(J19:K19)</f>
        <v>1908.3333333333333</v>
      </c>
      <c r="N19" s="6">
        <f>L19-M19</f>
        <v>26991.666666666668</v>
      </c>
      <c r="O19" s="19">
        <f>IF(N19&lt;67000,10%*L19,"Not Applicable")</f>
        <v>2890</v>
      </c>
    </row>
    <row r="20" spans="4:15" ht="13.8" x14ac:dyDescent="0.25">
      <c r="D20" s="4">
        <v>105</v>
      </c>
      <c r="E20" s="4" t="s">
        <v>32</v>
      </c>
      <c r="F20" s="4" t="s">
        <v>45</v>
      </c>
      <c r="G20" s="6">
        <v>20000</v>
      </c>
      <c r="H20" s="4">
        <f>G20*50%</f>
        <v>10000</v>
      </c>
      <c r="I20" s="4">
        <f>G20*20%</f>
        <v>4000</v>
      </c>
      <c r="J20" s="4">
        <f>G20*10%</f>
        <v>2000</v>
      </c>
      <c r="K20" s="4">
        <f>2500/12</f>
        <v>208.33333333333334</v>
      </c>
      <c r="L20" s="6">
        <f>SUM(G20:I20)</f>
        <v>34000</v>
      </c>
      <c r="M20" s="4">
        <f>SUM(J20:K20)</f>
        <v>2208.3333333333335</v>
      </c>
      <c r="N20" s="6">
        <f>L20-M20</f>
        <v>31791.666666666668</v>
      </c>
      <c r="O20" s="19">
        <f>IF(N20&lt;67000,10%*L20,"Not Applicable")</f>
        <v>3400</v>
      </c>
    </row>
    <row r="21" spans="4:15" ht="13.8" x14ac:dyDescent="0.25">
      <c r="D21" s="4">
        <v>113</v>
      </c>
      <c r="E21" s="4" t="s">
        <v>39</v>
      </c>
      <c r="F21" s="4" t="s">
        <v>45</v>
      </c>
      <c r="G21" s="6">
        <v>73000</v>
      </c>
      <c r="H21" s="4">
        <f>G21*50%</f>
        <v>36500</v>
      </c>
      <c r="I21" s="4">
        <f>G21*20%</f>
        <v>14600</v>
      </c>
      <c r="J21" s="4">
        <f>G21*10%</f>
        <v>7300</v>
      </c>
      <c r="K21" s="4">
        <f>2500/12</f>
        <v>208.33333333333334</v>
      </c>
      <c r="L21" s="6">
        <f>SUM(G21:I21)</f>
        <v>124100</v>
      </c>
      <c r="M21" s="4">
        <f>SUM(J21:K21)</f>
        <v>7508.333333333333</v>
      </c>
      <c r="N21" s="6">
        <f>L21-M21</f>
        <v>116591.66666666667</v>
      </c>
      <c r="O21" s="19" t="str">
        <f>IF(N21&lt;67000,10%*L21,"Not Applicable")</f>
        <v>Not Applicable</v>
      </c>
    </row>
  </sheetData>
  <autoFilter ref="D6:O21" xr:uid="{DAE26493-5058-4B95-B50D-6D3801F1EEC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19FF-9910-4F63-B69B-B2862EB87606}">
  <dimension ref="C5:C19"/>
  <sheetViews>
    <sheetView workbookViewId="0">
      <selection activeCell="F5" sqref="F5"/>
    </sheetView>
  </sheetViews>
  <sheetFormatPr defaultRowHeight="13.2" x14ac:dyDescent="0.25"/>
  <cols>
    <col min="3" max="3" width="24.109375" customWidth="1"/>
  </cols>
  <sheetData>
    <row r="5" spans="3:3" ht="13.8" x14ac:dyDescent="0.25">
      <c r="C5" s="4" t="s">
        <v>46</v>
      </c>
    </row>
    <row r="6" spans="3:3" ht="13.8" x14ac:dyDescent="0.25">
      <c r="C6" s="20" t="s">
        <v>42</v>
      </c>
    </row>
    <row r="7" spans="3:3" ht="13.8" x14ac:dyDescent="0.25">
      <c r="C7" s="4" t="s">
        <v>43</v>
      </c>
    </row>
    <row r="8" spans="3:3" ht="13.8" x14ac:dyDescent="0.25">
      <c r="C8" s="20" t="s">
        <v>44</v>
      </c>
    </row>
    <row r="9" spans="3:3" ht="13.8" x14ac:dyDescent="0.25">
      <c r="C9" s="4" t="s">
        <v>45</v>
      </c>
    </row>
    <row r="10" spans="3:3" ht="13.8" x14ac:dyDescent="0.25">
      <c r="C10" s="20" t="s">
        <v>45</v>
      </c>
    </row>
    <row r="11" spans="3:3" ht="13.8" x14ac:dyDescent="0.25">
      <c r="C11" s="4" t="s">
        <v>42</v>
      </c>
    </row>
    <row r="12" spans="3:3" ht="13.8" x14ac:dyDescent="0.25">
      <c r="C12" s="20" t="s">
        <v>46</v>
      </c>
    </row>
    <row r="13" spans="3:3" ht="13.8" x14ac:dyDescent="0.25">
      <c r="C13" s="4" t="s">
        <v>44</v>
      </c>
    </row>
    <row r="14" spans="3:3" ht="13.8" x14ac:dyDescent="0.25">
      <c r="C14" s="20" t="s">
        <v>43</v>
      </c>
    </row>
    <row r="15" spans="3:3" ht="13.8" x14ac:dyDescent="0.25">
      <c r="C15" s="4" t="s">
        <v>46</v>
      </c>
    </row>
    <row r="16" spans="3:3" ht="13.8" x14ac:dyDescent="0.25">
      <c r="C16" s="20" t="s">
        <v>42</v>
      </c>
    </row>
    <row r="17" spans="3:3" ht="13.8" x14ac:dyDescent="0.25">
      <c r="C17" s="4" t="s">
        <v>45</v>
      </c>
    </row>
    <row r="18" spans="3:3" ht="13.8" x14ac:dyDescent="0.25">
      <c r="C18" s="20" t="s">
        <v>44</v>
      </c>
    </row>
    <row r="19" spans="3:3" ht="13.8" x14ac:dyDescent="0.25">
      <c r="C19" s="4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14D7-0C57-4FAF-B3A7-0B8B05D83515}">
  <dimension ref="A3:K18"/>
  <sheetViews>
    <sheetView topLeftCell="A2" workbookViewId="0">
      <selection activeCell="M5" sqref="M5"/>
    </sheetView>
  </sheetViews>
  <sheetFormatPr defaultRowHeight="13.2" x14ac:dyDescent="0.25"/>
  <cols>
    <col min="2" max="2" width="22.109375" customWidth="1"/>
    <col min="3" max="3" width="17.44140625" customWidth="1"/>
  </cols>
  <sheetData>
    <row r="3" spans="1:11" ht="13.8" x14ac:dyDescent="0.25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13.8" x14ac:dyDescent="0.25">
      <c r="A4" s="4">
        <v>110</v>
      </c>
      <c r="B4" s="4" t="s">
        <v>36</v>
      </c>
      <c r="C4" s="4" t="s">
        <v>69</v>
      </c>
      <c r="D4" s="6">
        <v>21000</v>
      </c>
      <c r="E4" s="4">
        <f>D4*50%</f>
        <v>10500</v>
      </c>
      <c r="F4" s="4">
        <f>D4*20%</f>
        <v>4200</v>
      </c>
      <c r="G4" s="4">
        <f>D4*10%</f>
        <v>2100</v>
      </c>
      <c r="H4" s="4">
        <f>2500/12</f>
        <v>208.33333333333334</v>
      </c>
      <c r="I4" s="6">
        <f>SUM(D4:F4)</f>
        <v>35700</v>
      </c>
      <c r="J4" s="4">
        <f>SUM(G4:H4)</f>
        <v>2308.3333333333335</v>
      </c>
      <c r="K4" s="6">
        <f>I4-J4</f>
        <v>33391.666666666664</v>
      </c>
    </row>
    <row r="5" spans="1:11" ht="13.8" x14ac:dyDescent="0.25">
      <c r="A5" s="4">
        <v>107</v>
      </c>
      <c r="B5" s="4" t="s">
        <v>33</v>
      </c>
      <c r="C5" s="4" t="s">
        <v>67</v>
      </c>
      <c r="D5" s="6">
        <v>13000</v>
      </c>
      <c r="E5" s="4">
        <f>D5*50%</f>
        <v>6500</v>
      </c>
      <c r="F5" s="4">
        <f>D5*20%</f>
        <v>2600</v>
      </c>
      <c r="G5" s="4">
        <f>D5*10%</f>
        <v>1300</v>
      </c>
      <c r="H5" s="4">
        <f>2500/12</f>
        <v>208.33333333333334</v>
      </c>
      <c r="I5" s="6">
        <f>SUM(D5:F5)</f>
        <v>22100</v>
      </c>
      <c r="J5" s="4">
        <f>SUM(G5:H5)</f>
        <v>1508.3333333333333</v>
      </c>
      <c r="K5" s="6">
        <f>I5-J5</f>
        <v>20591.666666666668</v>
      </c>
    </row>
    <row r="6" spans="1:11" ht="13.8" x14ac:dyDescent="0.25">
      <c r="A6" s="4">
        <v>108</v>
      </c>
      <c r="B6" s="4" t="s">
        <v>34</v>
      </c>
      <c r="C6" s="4" t="s">
        <v>68</v>
      </c>
      <c r="D6" s="6">
        <v>14000</v>
      </c>
      <c r="E6" s="4">
        <f>D6*50%</f>
        <v>7000</v>
      </c>
      <c r="F6" s="4">
        <f>D6*20%</f>
        <v>2800</v>
      </c>
      <c r="G6" s="4">
        <f>D6*10%</f>
        <v>1400</v>
      </c>
      <c r="H6" s="4">
        <f>2500/12</f>
        <v>208.33333333333334</v>
      </c>
      <c r="I6" s="6">
        <f>SUM(D6:F6)</f>
        <v>23800</v>
      </c>
      <c r="J6" s="4">
        <f>SUM(G6:H6)</f>
        <v>1608.3333333333333</v>
      </c>
      <c r="K6" s="6">
        <f>I6-J6</f>
        <v>22191.666666666668</v>
      </c>
    </row>
    <row r="7" spans="1:11" ht="13.8" x14ac:dyDescent="0.25">
      <c r="A7" s="4">
        <v>106</v>
      </c>
      <c r="B7" s="4" t="s">
        <v>31</v>
      </c>
      <c r="C7" s="4" t="s">
        <v>69</v>
      </c>
      <c r="D7" s="6">
        <v>21000</v>
      </c>
      <c r="E7" s="4">
        <f>D7*50%</f>
        <v>10500</v>
      </c>
      <c r="F7" s="4">
        <f>D7*20%</f>
        <v>4200</v>
      </c>
      <c r="G7" s="4">
        <f>D7*10%</f>
        <v>2100</v>
      </c>
      <c r="H7" s="4">
        <f>2500/12</f>
        <v>208.33333333333334</v>
      </c>
      <c r="I7" s="6">
        <f>SUM(D7:F7)</f>
        <v>35700</v>
      </c>
      <c r="J7" s="4">
        <f>SUM(G7:H7)</f>
        <v>2308.3333333333335</v>
      </c>
      <c r="K7" s="6">
        <f>I7-J7</f>
        <v>33391.666666666664</v>
      </c>
    </row>
    <row r="8" spans="1:11" ht="13.8" x14ac:dyDescent="0.25">
      <c r="A8" s="4">
        <v>109</v>
      </c>
      <c r="B8" s="4" t="s">
        <v>35</v>
      </c>
      <c r="C8" s="4" t="s">
        <v>69</v>
      </c>
      <c r="D8" s="6">
        <v>17000</v>
      </c>
      <c r="E8" s="4">
        <f>D8*50%</f>
        <v>8500</v>
      </c>
      <c r="F8" s="4">
        <f>D8*20%</f>
        <v>3400</v>
      </c>
      <c r="G8" s="4">
        <f>D8*10%</f>
        <v>1700</v>
      </c>
      <c r="H8" s="4">
        <f>2500/12</f>
        <v>208.33333333333334</v>
      </c>
      <c r="I8" s="6">
        <f>SUM(D8:F8)</f>
        <v>28900</v>
      </c>
      <c r="J8" s="4">
        <f>SUM(G8:H8)</f>
        <v>1908.3333333333333</v>
      </c>
      <c r="K8" s="6">
        <f>I8-J8</f>
        <v>26991.666666666668</v>
      </c>
    </row>
    <row r="9" spans="1:11" ht="13.8" x14ac:dyDescent="0.25">
      <c r="A9" s="4">
        <v>111</v>
      </c>
      <c r="B9" s="4" t="s">
        <v>37</v>
      </c>
      <c r="C9" s="4" t="s">
        <v>70</v>
      </c>
      <c r="D9" s="6">
        <v>19000</v>
      </c>
      <c r="E9" s="4">
        <f>D9*50%</f>
        <v>9500</v>
      </c>
      <c r="F9" s="4">
        <f>D9*20%</f>
        <v>3800</v>
      </c>
      <c r="G9" s="4">
        <f>D9*10%</f>
        <v>1900</v>
      </c>
      <c r="H9" s="4">
        <f>2500/12</f>
        <v>208.33333333333334</v>
      </c>
      <c r="I9" s="6">
        <f>SUM(D9:F9)</f>
        <v>32300</v>
      </c>
      <c r="J9" s="4">
        <f>SUM(G9:H9)</f>
        <v>2108.3333333333335</v>
      </c>
      <c r="K9" s="6">
        <f>I9-J9</f>
        <v>30191.666666666668</v>
      </c>
    </row>
    <row r="10" spans="1:11" ht="13.8" x14ac:dyDescent="0.25">
      <c r="A10" s="4">
        <v>105</v>
      </c>
      <c r="B10" s="4" t="s">
        <v>32</v>
      </c>
      <c r="C10" s="4" t="s">
        <v>68</v>
      </c>
      <c r="D10" s="6">
        <v>20000</v>
      </c>
      <c r="E10" s="4">
        <f>D10*50%</f>
        <v>10000</v>
      </c>
      <c r="F10" s="4">
        <f>D10*20%</f>
        <v>4000</v>
      </c>
      <c r="G10" s="4">
        <f>D10*10%</f>
        <v>2000</v>
      </c>
      <c r="H10" s="4">
        <f>2500/12</f>
        <v>208.33333333333334</v>
      </c>
      <c r="I10" s="6">
        <f>SUM(D10:F10)</f>
        <v>34000</v>
      </c>
      <c r="J10" s="4">
        <f>SUM(G10:H10)</f>
        <v>2208.3333333333335</v>
      </c>
      <c r="K10" s="6">
        <f>I10-J10</f>
        <v>31791.666666666668</v>
      </c>
    </row>
    <row r="11" spans="1:11" ht="13.8" x14ac:dyDescent="0.25">
      <c r="A11" s="4">
        <v>102</v>
      </c>
      <c r="B11" s="4" t="s">
        <v>28</v>
      </c>
      <c r="C11" s="4" t="s">
        <v>70</v>
      </c>
      <c r="D11" s="6">
        <v>18000</v>
      </c>
      <c r="E11" s="4">
        <f>D11*50%</f>
        <v>9000</v>
      </c>
      <c r="F11" s="4">
        <f>D11*20%</f>
        <v>3600</v>
      </c>
      <c r="G11" s="4">
        <f>D11*10%</f>
        <v>1800</v>
      </c>
      <c r="H11" s="4">
        <f>2500/12</f>
        <v>208.33333333333334</v>
      </c>
      <c r="I11" s="6">
        <f>SUM(D11:F11)</f>
        <v>30600</v>
      </c>
      <c r="J11" s="4">
        <f>SUM(G11:H11)</f>
        <v>2008.3333333333333</v>
      </c>
      <c r="K11" s="6">
        <f>I11-J11</f>
        <v>28591.666666666668</v>
      </c>
    </row>
    <row r="12" spans="1:11" ht="13.8" x14ac:dyDescent="0.25">
      <c r="A12" s="4">
        <v>115</v>
      </c>
      <c r="B12" s="4" t="s">
        <v>41</v>
      </c>
      <c r="C12" s="4" t="s">
        <v>67</v>
      </c>
      <c r="D12" s="6">
        <v>23000</v>
      </c>
      <c r="E12" s="4">
        <f>D12*50%</f>
        <v>11500</v>
      </c>
      <c r="F12" s="4">
        <f>D12*20%</f>
        <v>4600</v>
      </c>
      <c r="G12" s="4">
        <f>D12*10%</f>
        <v>2300</v>
      </c>
      <c r="H12" s="4">
        <f>2500/12</f>
        <v>208.33333333333334</v>
      </c>
      <c r="I12" s="6">
        <f>SUM(D12:F12)</f>
        <v>39100</v>
      </c>
      <c r="J12" s="4">
        <f>SUM(G12:H12)</f>
        <v>2508.3333333333335</v>
      </c>
      <c r="K12" s="6">
        <f>I12-J12</f>
        <v>36591.666666666664</v>
      </c>
    </row>
    <row r="13" spans="1:11" ht="13.8" x14ac:dyDescent="0.25">
      <c r="A13" s="4">
        <v>114</v>
      </c>
      <c r="B13" s="4" t="s">
        <v>40</v>
      </c>
      <c r="C13" s="4" t="s">
        <v>66</v>
      </c>
      <c r="D13" s="6">
        <v>20000</v>
      </c>
      <c r="E13" s="4">
        <f>D13*50%</f>
        <v>10000</v>
      </c>
      <c r="F13" s="4">
        <f>D13*20%</f>
        <v>4000</v>
      </c>
      <c r="G13" s="4">
        <f>D13*10%</f>
        <v>2000</v>
      </c>
      <c r="H13" s="4">
        <f>2500/12</f>
        <v>208.33333333333334</v>
      </c>
      <c r="I13" s="6">
        <f>SUM(D13:F13)</f>
        <v>34000</v>
      </c>
      <c r="J13" s="4">
        <f>SUM(G13:H13)</f>
        <v>2208.3333333333335</v>
      </c>
      <c r="K13" s="6">
        <f>I13-J13</f>
        <v>31791.666666666668</v>
      </c>
    </row>
    <row r="14" spans="1:11" ht="13.8" x14ac:dyDescent="0.25">
      <c r="A14" s="4">
        <v>113</v>
      </c>
      <c r="B14" s="4" t="s">
        <v>39</v>
      </c>
      <c r="C14" s="4" t="s">
        <v>68</v>
      </c>
      <c r="D14" s="6">
        <v>13000</v>
      </c>
      <c r="E14" s="4">
        <f>D14*50%</f>
        <v>6500</v>
      </c>
      <c r="F14" s="4">
        <f>D14*20%</f>
        <v>2600</v>
      </c>
      <c r="G14" s="4">
        <f>D14*10%</f>
        <v>1300</v>
      </c>
      <c r="H14" s="4">
        <f>2500/12</f>
        <v>208.33333333333334</v>
      </c>
      <c r="I14" s="6">
        <f>SUM(D14:F14)</f>
        <v>22100</v>
      </c>
      <c r="J14" s="4">
        <f>SUM(G14:H14)</f>
        <v>1508.3333333333333</v>
      </c>
      <c r="K14" s="6">
        <f>I14-J14</f>
        <v>20591.666666666668</v>
      </c>
    </row>
    <row r="15" spans="1:11" ht="13.8" x14ac:dyDescent="0.25">
      <c r="A15" s="4">
        <v>104</v>
      </c>
      <c r="B15" s="4" t="s">
        <v>30</v>
      </c>
      <c r="C15" s="4" t="s">
        <v>71</v>
      </c>
      <c r="D15" s="6">
        <v>17000</v>
      </c>
      <c r="E15" s="4">
        <f>D15*50%</f>
        <v>8500</v>
      </c>
      <c r="F15" s="4">
        <f>D15*20%</f>
        <v>3400</v>
      </c>
      <c r="G15" s="4">
        <f>D15*10%</f>
        <v>1700</v>
      </c>
      <c r="H15" s="4">
        <f>2500/12</f>
        <v>208.33333333333334</v>
      </c>
      <c r="I15" s="6">
        <f>SUM(D15:F15)</f>
        <v>28900</v>
      </c>
      <c r="J15" s="4">
        <f>SUM(G15:H15)</f>
        <v>1908.3333333333333</v>
      </c>
      <c r="K15" s="6">
        <f>I15-J15</f>
        <v>26991.666666666668</v>
      </c>
    </row>
    <row r="16" spans="1:11" ht="13.8" x14ac:dyDescent="0.25">
      <c r="A16" s="4">
        <v>112</v>
      </c>
      <c r="B16" s="4" t="s">
        <v>38</v>
      </c>
      <c r="C16" s="4" t="s">
        <v>71</v>
      </c>
      <c r="D16" s="6">
        <v>12000</v>
      </c>
      <c r="E16" s="4">
        <f>D16*50%</f>
        <v>6000</v>
      </c>
      <c r="F16" s="4">
        <f>D16*20%</f>
        <v>2400</v>
      </c>
      <c r="G16" s="4">
        <f>D16*10%</f>
        <v>1200</v>
      </c>
      <c r="H16" s="4">
        <f>2500/12</f>
        <v>208.33333333333334</v>
      </c>
      <c r="I16" s="6">
        <f>SUM(D16:F16)</f>
        <v>20400</v>
      </c>
      <c r="J16" s="4">
        <f>SUM(G16:H16)</f>
        <v>1408.3333333333333</v>
      </c>
      <c r="K16" s="6">
        <f>I16-J16</f>
        <v>18991.666666666668</v>
      </c>
    </row>
    <row r="17" spans="1:11" ht="13.8" x14ac:dyDescent="0.25">
      <c r="A17" s="4">
        <v>103</v>
      </c>
      <c r="B17" s="4" t="s">
        <v>29</v>
      </c>
      <c r="C17" s="4" t="s">
        <v>71</v>
      </c>
      <c r="D17" s="6">
        <v>16000</v>
      </c>
      <c r="E17" s="4">
        <f>D17*50%</f>
        <v>8000</v>
      </c>
      <c r="F17" s="4">
        <f>D17*20%</f>
        <v>3200</v>
      </c>
      <c r="G17" s="4">
        <f>D17*10%</f>
        <v>1600</v>
      </c>
      <c r="H17" s="4">
        <f>2500/12</f>
        <v>208.33333333333334</v>
      </c>
      <c r="I17" s="6">
        <f>SUM(D17:F17)</f>
        <v>27200</v>
      </c>
      <c r="J17" s="4">
        <f>SUM(G17:H17)</f>
        <v>1808.3333333333333</v>
      </c>
      <c r="K17" s="6">
        <f>I17-J17</f>
        <v>25391.666666666668</v>
      </c>
    </row>
    <row r="18" spans="1:11" ht="13.8" x14ac:dyDescent="0.25">
      <c r="A18" s="4">
        <v>101</v>
      </c>
      <c r="B18" s="4" t="s">
        <v>27</v>
      </c>
      <c r="C18" s="4" t="s">
        <v>68</v>
      </c>
      <c r="D18" s="6">
        <v>15000</v>
      </c>
      <c r="E18" s="4">
        <f>D18*50%</f>
        <v>7500</v>
      </c>
      <c r="F18" s="4">
        <f>D18*20%</f>
        <v>3000</v>
      </c>
      <c r="G18" s="4">
        <f>D18*10%</f>
        <v>1500</v>
      </c>
      <c r="H18" s="4">
        <f>2500/12</f>
        <v>208.33333333333334</v>
      </c>
      <c r="I18" s="6">
        <f>SUM(D18:F18)</f>
        <v>25500</v>
      </c>
      <c r="J18" s="4">
        <f>SUM(G18:H18)</f>
        <v>1708.3333333333333</v>
      </c>
      <c r="K18" s="6">
        <f>I18-J18</f>
        <v>23791.666666666668</v>
      </c>
    </row>
  </sheetData>
  <dataConsolidate/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3221BD-F4AA-437A-88E4-F6BCA8EA00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Sheet6</vt:lpstr>
      <vt:lpstr>Sheet5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2026-09-10T12:11:05Z</dcterms:modified>
</cp:coreProperties>
</file>