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689D83-1687-405A-8A2D-3F5DBD86096D}" xr6:coauthVersionLast="47" xr6:coauthVersionMax="47" xr10:uidLastSave="{00000000-0000-0000-0000-000000000000}"/>
  <bookViews>
    <workbookView xWindow="-108" yWindow="-108" windowWidth="23256" windowHeight="12456" xr2:uid="{08F8D129-64C9-4E1A-8089-D6DDBDAE98D3}"/>
  </bookViews>
  <sheets>
    <sheet name="Data" sheetId="1" r:id="rId1"/>
    <sheet name="Questions" sheetId="2" r:id="rId2"/>
  </sheets>
  <definedNames>
    <definedName name="_xlnm._FilterDatabase" localSheetId="0" hidden="1">Data!$A$5:$Q$97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1" l="1"/>
  <c r="U22" i="1"/>
  <c r="U21" i="1"/>
  <c r="U20" i="1"/>
  <c r="U19" i="1"/>
  <c r="U18" i="1"/>
  <c r="U17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6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6" i="1"/>
  <c r="O6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7" i="1"/>
  <c r="O8" i="1"/>
  <c r="O9" i="1"/>
  <c r="O10" i="1"/>
  <c r="O11" i="1"/>
  <c r="O12" i="1"/>
  <c r="O13" i="1"/>
  <c r="O14" i="1"/>
  <c r="O15" i="1"/>
  <c r="O16" i="1"/>
  <c r="O17" i="1"/>
  <c r="O18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6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6" i="1"/>
  <c r="J88" i="1"/>
  <c r="J89" i="1"/>
  <c r="J90" i="1"/>
  <c r="J91" i="1"/>
  <c r="J92" i="1"/>
  <c r="J93" i="1"/>
  <c r="J94" i="1"/>
  <c r="J95" i="1"/>
  <c r="J96" i="1"/>
  <c r="J97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6" i="1"/>
  <c r="U6" i="1"/>
  <c r="U11" i="1"/>
  <c r="U9" i="1"/>
  <c r="U10" i="1"/>
  <c r="U8" i="1"/>
  <c r="U7" i="1"/>
  <c r="U5" i="1"/>
  <c r="M4" i="2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<sst xmlns="http://schemas.openxmlformats.org/spreadsheetml/2006/main" count="442" uniqueCount="140">
  <si>
    <t>Patient</t>
  </si>
  <si>
    <t>Patient Name</t>
  </si>
  <si>
    <t>Contact number</t>
  </si>
  <si>
    <t>Month</t>
  </si>
  <si>
    <t>Admit Date</t>
  </si>
  <si>
    <t>Discharge</t>
  </si>
  <si>
    <t>Days</t>
  </si>
  <si>
    <t>Ward</t>
  </si>
  <si>
    <t>Total Amount</t>
  </si>
  <si>
    <t>Discount Amount</t>
  </si>
  <si>
    <t>Mrs.Aparna Raut</t>
  </si>
  <si>
    <t>May</t>
  </si>
  <si>
    <t>Surgery</t>
  </si>
  <si>
    <t>Normal</t>
  </si>
  <si>
    <t>Mrs.Kanika Rathod</t>
  </si>
  <si>
    <t>Accident</t>
  </si>
  <si>
    <t>Mr.Kuhu Divekar</t>
  </si>
  <si>
    <t>Skin</t>
  </si>
  <si>
    <t>Mrs.Divya Acharya</t>
  </si>
  <si>
    <t>Heart</t>
  </si>
  <si>
    <t>VVIP</t>
  </si>
  <si>
    <t>Mrs. Shamita Kumari</t>
  </si>
  <si>
    <t>Child</t>
  </si>
  <si>
    <t>Mrs.Shivani Kadam</t>
  </si>
  <si>
    <t>VIP</t>
  </si>
  <si>
    <t>Mrs.Prachi Mitthal</t>
  </si>
  <si>
    <t>Mrs. Rupali Shivale</t>
  </si>
  <si>
    <t>Mrs.Monica Phillips</t>
  </si>
  <si>
    <t>Mrs. Soni kulshretra</t>
  </si>
  <si>
    <t>Mrs. Jahnavi Lashkare</t>
  </si>
  <si>
    <t>Mrs.Anitsa Senapathi</t>
  </si>
  <si>
    <t>Mrs. Vidya Shinde</t>
  </si>
  <si>
    <t>Mrs. Varsha Pawar</t>
  </si>
  <si>
    <t>Mrs. Sakshi Agrawal</t>
  </si>
  <si>
    <t>Mrs. Kanchan Kulkarni</t>
  </si>
  <si>
    <t>Mrs. Nikita Borade</t>
  </si>
  <si>
    <t>Mrs. Utkarsha Shendge</t>
  </si>
  <si>
    <t>Mrs. Sharil Mathew</t>
  </si>
  <si>
    <t>Mrs.Prajakta Shinde</t>
  </si>
  <si>
    <t>Mrs.Shivani Agarwal</t>
  </si>
  <si>
    <t>Mrs.Sangita Pashte</t>
  </si>
  <si>
    <t>Mrs. Swapnali Bakle</t>
  </si>
  <si>
    <t>Mrs. Amruta Hande</t>
  </si>
  <si>
    <t>Mrs.Rashi Sawant</t>
  </si>
  <si>
    <t>Mrs. Krutika Pawar</t>
  </si>
  <si>
    <t>Mrs. Ankita Jagdale</t>
  </si>
  <si>
    <t>Mrs. Rashmi Pawar</t>
  </si>
  <si>
    <t>Mrs. Pooja Kombe</t>
  </si>
  <si>
    <t>Mrs. Shital Atak</t>
  </si>
  <si>
    <t>Mrs. Renu Singh</t>
  </si>
  <si>
    <t>Mrs. Preeti Bansal</t>
  </si>
  <si>
    <t>Jun</t>
  </si>
  <si>
    <t>Mrs Shivani Agrawal</t>
  </si>
  <si>
    <t>Mrs. Kajol Jadhav</t>
  </si>
  <si>
    <t>Mrs. Prajakta Kadam</t>
  </si>
  <si>
    <t>Mrs. Malini singh</t>
  </si>
  <si>
    <t>Mrs. Aishwarya Salve</t>
  </si>
  <si>
    <t>Mrs. Karishma SIngh</t>
  </si>
  <si>
    <t>Mrs Kirti Tomar</t>
  </si>
  <si>
    <t>Mrs. Sonika Dabas</t>
  </si>
  <si>
    <t>Mrs. Kirti Kumar</t>
  </si>
  <si>
    <t>Mrs Achal Waghmare</t>
  </si>
  <si>
    <t>Mrs. Shreelekha Chavan</t>
  </si>
  <si>
    <t>Mrs.Akansha Singh</t>
  </si>
  <si>
    <t>Mrs. Reeni Gupta</t>
  </si>
  <si>
    <t>Mrs. Sonal Manaware</t>
  </si>
  <si>
    <t>Mrs.Ruhani Kulshreshtra</t>
  </si>
  <si>
    <t>Mrs. Komal Kadam</t>
  </si>
  <si>
    <t>Mrs. Deeepa Shrivastava</t>
  </si>
  <si>
    <t>Mrs.Reeta Gusair</t>
  </si>
  <si>
    <t>Mrs. Anjali Badgujar</t>
  </si>
  <si>
    <t>Mrs.Suchitra Senapathi</t>
  </si>
  <si>
    <t>Mrs.Aarti Shinde</t>
  </si>
  <si>
    <t>Mrs. Supriya Pawar</t>
  </si>
  <si>
    <t>Mrs. Susmita Gupta</t>
  </si>
  <si>
    <t>Mrs. Kanchan Gaikwad</t>
  </si>
  <si>
    <t>Mrs. Asmita Borade</t>
  </si>
  <si>
    <t>Mrs. Utkarsha Shinde</t>
  </si>
  <si>
    <t>Mrs. Renu Mathew</t>
  </si>
  <si>
    <t>Mrs.Raksha Shinde</t>
  </si>
  <si>
    <t>Mrs.Trupti Agarwal</t>
  </si>
  <si>
    <t>Mrs.Samiksha Rathod</t>
  </si>
  <si>
    <t>July</t>
  </si>
  <si>
    <t>Mrs. Supriya More</t>
  </si>
  <si>
    <t>Mrs. Sachita Shinde</t>
  </si>
  <si>
    <t>Mrs.Rashi Panwar</t>
  </si>
  <si>
    <t>Mrs.Jayashri Mungale</t>
  </si>
  <si>
    <t>Mrs.Saniya Sharma</t>
  </si>
  <si>
    <t>Mrs.Sweta Kulkekar</t>
  </si>
  <si>
    <t>Mrs.Divya Singh</t>
  </si>
  <si>
    <t>Mrs. Nalini singh</t>
  </si>
  <si>
    <t>Mr.Nitin Virnak</t>
  </si>
  <si>
    <t>Mrs.Varsha Jha</t>
  </si>
  <si>
    <t>Mrs. Megha Shinde</t>
  </si>
  <si>
    <t>Mrs.Ambika Mulsalgaonkar</t>
  </si>
  <si>
    <t>Mrs.Sonam Agrawal</t>
  </si>
  <si>
    <t>Mr. Kiran Panwar</t>
  </si>
  <si>
    <t>Mrs. Sanchita Khose</t>
  </si>
  <si>
    <t>Mrs. Kriti Manthan</t>
  </si>
  <si>
    <t>Mrs. Krushali Tomane</t>
  </si>
  <si>
    <t>Mrs. Gauri Patil</t>
  </si>
  <si>
    <t>Mrs.Shobha Kusmude</t>
  </si>
  <si>
    <t>Mrs. Jayantee Roy</t>
  </si>
  <si>
    <t>Mrs. Kavya Kulkarni</t>
  </si>
  <si>
    <t>Mrs.Renuka Gusai</t>
  </si>
  <si>
    <t>Mrs.Shivani Sharma</t>
  </si>
  <si>
    <t>Mrs.Shanti Pawar</t>
  </si>
  <si>
    <t>Mr.Himanshu Kusalkar</t>
  </si>
  <si>
    <t>Mr. Pradeep Kumari</t>
  </si>
  <si>
    <t>Mr. Naveen Sharma</t>
  </si>
  <si>
    <t>Mr.Dipak sachdeva</t>
  </si>
  <si>
    <t>Mrs.Sangita Ransingh</t>
  </si>
  <si>
    <t>Mr.Rahul Srivastava</t>
  </si>
  <si>
    <t>Normal Room</t>
  </si>
  <si>
    <t>Ward / Room</t>
  </si>
  <si>
    <t>Per day Charges</t>
  </si>
  <si>
    <t>Total Ward Charges</t>
  </si>
  <si>
    <t>Amount Payable</t>
  </si>
  <si>
    <t>Hospital Billing Statement (May -June-July) 2026</t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</si>
  <si>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If amount is Rs 5000 then give 3% discount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</si>
  <si>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If amount is Rs 10000 then give 5% discount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</si>
  <si>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If amount is Rs 15000 then give 7% discount</t>
    </r>
  </si>
  <si>
    <r>
      <rPr>
        <b/>
        <sz val="11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 Else give 8% discount</t>
    </r>
  </si>
  <si>
    <t>Calculations to be done:</t>
  </si>
  <si>
    <t>No. of Dr. Visits</t>
  </si>
  <si>
    <t>Treatment for</t>
  </si>
  <si>
    <t>Charges per day</t>
  </si>
  <si>
    <t xml:space="preserve">Total Dr. Charges </t>
  </si>
  <si>
    <t>Fracture</t>
  </si>
  <si>
    <t>Cesarean</t>
  </si>
  <si>
    <t>Count</t>
  </si>
  <si>
    <r>
      <t>8.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SUMIF</t>
    </r>
    <r>
      <rPr>
        <sz val="11"/>
        <color theme="1"/>
        <rFont val="Calibri"/>
        <family val="2"/>
        <scheme val="minor"/>
      </rPr>
      <t xml:space="preserve"> function, find out the Amount Payable for the following:</t>
    </r>
  </si>
  <si>
    <r>
      <t>7.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 function, find out the patient cout for the following:</t>
    </r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</si>
  <si>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Discount Amount</t>
    </r>
    <r>
      <rPr>
        <sz val="11"/>
        <color theme="1"/>
        <rFont val="Calibri"/>
        <family val="2"/>
        <scheme val="minor"/>
      </rPr>
      <t xml:space="preserve"> as follows: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</si>
  <si>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Based on the Ward/Room type, using IF condition populate the </t>
    </r>
    <r>
      <rPr>
        <b/>
        <sz val="11"/>
        <color theme="1"/>
        <rFont val="Calibri"/>
        <family val="2"/>
        <scheme val="minor"/>
      </rPr>
      <t>Charges oer day</t>
    </r>
    <r>
      <rPr>
        <sz val="11"/>
        <color theme="1"/>
        <rFont val="Calibri"/>
        <family val="2"/>
        <scheme val="minor"/>
      </rPr>
      <t xml:space="preserve"> (column K)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</si>
  <si>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To calculate total </t>
    </r>
    <r>
      <rPr>
        <b/>
        <sz val="11"/>
        <color theme="1"/>
        <rFont val="Calibri"/>
        <family val="2"/>
        <scheme val="minor"/>
      </rPr>
      <t>Total Ward Charges</t>
    </r>
    <r>
      <rPr>
        <sz val="11"/>
        <color theme="1"/>
        <rFont val="Calibri"/>
        <family val="2"/>
        <scheme val="minor"/>
      </rPr>
      <t xml:space="preserve"> (column L), multiply charges with number of days, using if functions. 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</si>
  <si>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Doctor fees is Rs. 400/- per visit. Calculate </t>
    </r>
    <r>
      <rPr>
        <b/>
        <sz val="11"/>
        <color theme="1"/>
        <rFont val="Calibri"/>
        <family val="2"/>
        <scheme val="minor"/>
      </rPr>
      <t>Total Dr Charges</t>
    </r>
    <r>
      <rPr>
        <sz val="11"/>
        <color theme="1"/>
        <rFont val="Calibri"/>
        <family val="2"/>
        <scheme val="minor"/>
      </rPr>
      <t xml:space="preserve"> (column N) as Visits x Charges/visit</t>
    </r>
  </si>
  <si>
    <t>Discount % Given</t>
  </si>
  <si>
    <r>
      <rPr>
        <b/>
        <sz val="11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Amount Payable</t>
    </r>
    <r>
      <rPr>
        <sz val="11"/>
        <color theme="1"/>
        <rFont val="Calibri"/>
        <family val="2"/>
        <scheme val="minor"/>
      </rPr>
      <t xml:space="preserve"> (column R) by adding all relevant charges and subtracting the Discount Amount</t>
    </r>
  </si>
  <si>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Based on Total Amount (column O) using the IF condition, populate the D</t>
    </r>
    <r>
      <rPr>
        <b/>
        <sz val="11"/>
        <color theme="1"/>
        <rFont val="Calibri"/>
        <family val="2"/>
        <scheme val="minor"/>
      </rPr>
      <t>iscount % Given</t>
    </r>
    <r>
      <rPr>
        <sz val="11"/>
        <color theme="1"/>
        <rFont val="Calibri"/>
        <family val="2"/>
        <scheme val="minor"/>
      </rPr>
      <t xml:space="preserve"> i.e. 3%, 5%, 7%, 8% in column 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</si>
</sst>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C00000"/>
      <name val="Calibri"/>
      <family val="2"/>
    </font>
    <font>
      <sz val="10"/>
      <color theme="1"/>
      <name val="Calibri"/>
      <family val="2"/>
    </font>
    <font>
      <b/>
      <sz val="18"/>
      <color rgb="FF2F5496"/>
      <name val="Calibri"/>
      <family val="2"/>
    </font>
    <font>
      <sz val="18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5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1" defaultTableStyle="TableStyleMedium2" defaultPivotStyle="PivotStyleLight16">
    <tableStyle name="Invisible" pivot="0" table="0" count="0" xr9:uid="{EF0A2021-1E20-4D80-B529-E11C8F8083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807B-0211-4C3D-B4FB-9146407BF1CC}">
  <dimension ref="A1:U97"/>
  <sheetViews>
    <sheetView tabSelected="1" topLeftCell="C1" workbookViewId="0">
      <selection activeCell="U5" sqref="U5"/>
    </sheetView>
  </sheetViews>
  <sheetFormatPr defaultRowHeight="14.4" x14ac:dyDescent="0.3"/>
  <cols>
    <col min="1" max="1" width="6.33203125" bestFit="1" customWidth="1"/>
    <col min="2" max="2" width="21.77734375" bestFit="1" customWidth="1"/>
    <col min="3" max="3" width="13.21875" bestFit="1" customWidth="1"/>
    <col min="4" max="4" width="6" bestFit="1" customWidth="1"/>
    <col min="5" max="5" width="9.5546875" bestFit="1" customWidth="1"/>
    <col min="6" max="7" width="8.77734375" bestFit="1" customWidth="1"/>
    <col min="8" max="8" width="4.44140625" bestFit="1" customWidth="1"/>
    <col min="9" max="9" width="6.44140625" bestFit="1" customWidth="1"/>
    <col min="10" max="10" width="8.6640625" customWidth="1"/>
    <col min="11" max="11" width="10.77734375" bestFit="1" customWidth="1"/>
    <col min="12" max="12" width="8.44140625" customWidth="1"/>
    <col min="13" max="13" width="10.109375" customWidth="1"/>
    <col min="14" max="14" width="10.77734375" bestFit="1" customWidth="1"/>
    <col min="15" max="15" width="7.5546875" bestFit="1" customWidth="1"/>
    <col min="16" max="16" width="7.5546875" customWidth="1"/>
    <col min="17" max="17" width="10.77734375" bestFit="1" customWidth="1"/>
    <col min="21" max="21" width="20.21875" customWidth="1"/>
  </cols>
  <sheetData>
    <row r="1" spans="1:21" x14ac:dyDescent="0.3">
      <c r="A1" s="13" t="s">
        <v>118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1:2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  <c r="S2" s="3" t="s">
        <v>132</v>
      </c>
    </row>
    <row r="3" spans="1:21" ht="15" thickBot="1" x14ac:dyDescent="0.3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/>
    </row>
    <row r="4" spans="1:21" ht="13.95" customHeight="1" x14ac:dyDescent="0.3">
      <c r="A4" s="11"/>
      <c r="B4" s="12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T4" s="2" t="s">
        <v>125</v>
      </c>
      <c r="U4" s="2" t="s">
        <v>130</v>
      </c>
    </row>
    <row r="5" spans="1:21" ht="41.4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125</v>
      </c>
      <c r="G5" s="7" t="s">
        <v>5</v>
      </c>
      <c r="H5" s="7" t="s">
        <v>6</v>
      </c>
      <c r="I5" s="7" t="s">
        <v>7</v>
      </c>
      <c r="J5" s="7" t="s">
        <v>126</v>
      </c>
      <c r="K5" s="8" t="s">
        <v>116</v>
      </c>
      <c r="L5" s="7" t="s">
        <v>124</v>
      </c>
      <c r="M5" s="8" t="s">
        <v>127</v>
      </c>
      <c r="N5" s="8" t="s">
        <v>8</v>
      </c>
      <c r="O5" s="9" t="s">
        <v>137</v>
      </c>
      <c r="P5" s="9" t="s">
        <v>9</v>
      </c>
      <c r="Q5" s="8" t="s">
        <v>117</v>
      </c>
      <c r="T5" s="1" t="s">
        <v>15</v>
      </c>
      <c r="U5" s="1">
        <f>COUNTIF($F$6:$F$97,"Accident")</f>
        <v>18</v>
      </c>
    </row>
    <row r="6" spans="1:21" x14ac:dyDescent="0.3">
      <c r="A6" s="4">
        <v>1</v>
      </c>
      <c r="B6" s="5" t="s">
        <v>10</v>
      </c>
      <c r="C6" s="5">
        <v>9899524199</v>
      </c>
      <c r="D6" s="5" t="s">
        <v>11</v>
      </c>
      <c r="E6" s="6">
        <v>44682</v>
      </c>
      <c r="F6" s="4" t="s">
        <v>12</v>
      </c>
      <c r="G6" s="6">
        <v>44703</v>
      </c>
      <c r="H6" s="4">
        <v>21</v>
      </c>
      <c r="I6" s="4" t="s">
        <v>13</v>
      </c>
      <c r="J6" s="4">
        <f>IF(I6="Normal",3000,IF(I6="VIP",5000,IF(I6="VVIP",9000,0)))</f>
        <v>3000</v>
      </c>
      <c r="K6" s="4">
        <f>IF(H6*J6,H6*J6,0)</f>
        <v>63000</v>
      </c>
      <c r="L6" s="4">
        <v>2</v>
      </c>
      <c r="M6" s="4">
        <f>400*L6</f>
        <v>800</v>
      </c>
      <c r="N6" s="4">
        <f>K6+M6</f>
        <v>63800</v>
      </c>
      <c r="O6" s="4" t="str">
        <f>IF(N6&gt;15000,"7%",IF(N6&gt;10000,"5%",IF(N6&gt;5000,"3%","8%")))</f>
        <v>7%</v>
      </c>
      <c r="P6" s="4">
        <f>IF(N6&gt;15000,N6*7%,IF(N6&gt;10000,N6*5%,IF(N6&gt;5000,N6*3%,"8%")))</f>
        <v>4466</v>
      </c>
      <c r="Q6" s="4">
        <f>K6+M6-P6</f>
        <v>59334</v>
      </c>
      <c r="T6" s="1" t="s">
        <v>129</v>
      </c>
      <c r="U6" s="1">
        <f>COUNTIF($F$6:$F$97,"Cesarean")</f>
        <v>6</v>
      </c>
    </row>
    <row r="7" spans="1:21" x14ac:dyDescent="0.3">
      <c r="A7" s="4">
        <v>2</v>
      </c>
      <c r="B7" s="5" t="s">
        <v>14</v>
      </c>
      <c r="C7" s="5">
        <v>9028775069</v>
      </c>
      <c r="D7" s="5" t="s">
        <v>11</v>
      </c>
      <c r="E7" s="6">
        <v>44683</v>
      </c>
      <c r="F7" s="4" t="s">
        <v>15</v>
      </c>
      <c r="G7" s="6">
        <v>44696</v>
      </c>
      <c r="H7" s="4">
        <f t="shared" ref="H7:H97" si="0">G7-E7</f>
        <v>13</v>
      </c>
      <c r="I7" s="4" t="s">
        <v>13</v>
      </c>
      <c r="J7" s="4">
        <f t="shared" ref="J7:J70" si="1">IF(I7="Normal",3000,IF(I7="VIP",5000,IF(I7="VVIP",9000,0)))</f>
        <v>3000</v>
      </c>
      <c r="K7" s="4">
        <f t="shared" ref="K7:K70" si="2">IF(H7*J7,H7*J7,0)</f>
        <v>39000</v>
      </c>
      <c r="L7" s="4">
        <v>2</v>
      </c>
      <c r="M7" s="4">
        <f t="shared" ref="M7:M70" si="3">400*L7</f>
        <v>800</v>
      </c>
      <c r="N7" s="4">
        <f t="shared" ref="N7:N70" si="4">K7+M7</f>
        <v>39800</v>
      </c>
      <c r="O7" s="4" t="str">
        <f t="shared" ref="O7:O70" si="5">IF(N7&gt;15000,"7%",IF(N7&gt;10000,"5%",IF(N7&gt;5000,"3%","8%")))</f>
        <v>7%</v>
      </c>
      <c r="P7" s="4">
        <f t="shared" ref="P7:P70" si="6">IF(N7&gt;15000,N7*7%,IF(N7&gt;10000,N7*5%,IF(N7&gt;5000,N7*3%,"8%")))</f>
        <v>2786.0000000000005</v>
      </c>
      <c r="Q7" s="4">
        <f t="shared" ref="Q7:Q70" si="7">K7+M7-P7</f>
        <v>37014</v>
      </c>
      <c r="T7" s="1" t="s">
        <v>22</v>
      </c>
      <c r="U7" s="1">
        <f>COUNTIF($F$6:$F$97,"Child")</f>
        <v>11</v>
      </c>
    </row>
    <row r="8" spans="1:21" x14ac:dyDescent="0.3">
      <c r="A8" s="4">
        <v>3</v>
      </c>
      <c r="B8" s="5" t="s">
        <v>16</v>
      </c>
      <c r="C8" s="5">
        <v>8888857677</v>
      </c>
      <c r="D8" s="5" t="s">
        <v>11</v>
      </c>
      <c r="E8" s="6">
        <v>44684</v>
      </c>
      <c r="F8" s="4" t="s">
        <v>17</v>
      </c>
      <c r="G8" s="6">
        <v>44691</v>
      </c>
      <c r="H8" s="4">
        <f t="shared" si="0"/>
        <v>7</v>
      </c>
      <c r="I8" s="4" t="s">
        <v>13</v>
      </c>
      <c r="J8" s="4">
        <f t="shared" si="1"/>
        <v>3000</v>
      </c>
      <c r="K8" s="4">
        <f t="shared" si="2"/>
        <v>21000</v>
      </c>
      <c r="L8" s="4">
        <v>3</v>
      </c>
      <c r="M8" s="4">
        <f t="shared" si="3"/>
        <v>1200</v>
      </c>
      <c r="N8" s="4">
        <f t="shared" si="4"/>
        <v>22200</v>
      </c>
      <c r="O8" s="4" t="str">
        <f t="shared" si="5"/>
        <v>7%</v>
      </c>
      <c r="P8" s="4">
        <f t="shared" si="6"/>
        <v>1554.0000000000002</v>
      </c>
      <c r="Q8" s="4">
        <f t="shared" si="7"/>
        <v>20646</v>
      </c>
      <c r="T8" s="1" t="s">
        <v>128</v>
      </c>
      <c r="U8" s="1">
        <f>COUNTIF($F$6:$F$97,"Fracture")</f>
        <v>10</v>
      </c>
    </row>
    <row r="9" spans="1:21" x14ac:dyDescent="0.3">
      <c r="A9" s="4">
        <v>4</v>
      </c>
      <c r="B9" s="5" t="s">
        <v>18</v>
      </c>
      <c r="C9" s="5">
        <v>8600402060</v>
      </c>
      <c r="D9" s="5" t="s">
        <v>11</v>
      </c>
      <c r="E9" s="6">
        <v>44685</v>
      </c>
      <c r="F9" s="4" t="s">
        <v>19</v>
      </c>
      <c r="G9" s="6">
        <v>44690</v>
      </c>
      <c r="H9" s="4">
        <f t="shared" si="0"/>
        <v>5</v>
      </c>
      <c r="I9" s="4" t="s">
        <v>20</v>
      </c>
      <c r="J9" s="4">
        <f t="shared" si="1"/>
        <v>9000</v>
      </c>
      <c r="K9" s="4">
        <f t="shared" si="2"/>
        <v>45000</v>
      </c>
      <c r="L9" s="4">
        <v>1</v>
      </c>
      <c r="M9" s="4">
        <f t="shared" si="3"/>
        <v>400</v>
      </c>
      <c r="N9" s="4">
        <f t="shared" si="4"/>
        <v>45400</v>
      </c>
      <c r="O9" s="4" t="str">
        <f t="shared" si="5"/>
        <v>7%</v>
      </c>
      <c r="P9" s="4">
        <f t="shared" si="6"/>
        <v>3178.0000000000005</v>
      </c>
      <c r="Q9" s="4">
        <f t="shared" si="7"/>
        <v>42222</v>
      </c>
      <c r="T9" s="1" t="s">
        <v>19</v>
      </c>
      <c r="U9" s="1">
        <f>COUNTIF($F$6:$F$97,"Heart")</f>
        <v>17</v>
      </c>
    </row>
    <row r="10" spans="1:21" x14ac:dyDescent="0.3">
      <c r="A10" s="4">
        <v>5</v>
      </c>
      <c r="B10" s="5" t="s">
        <v>21</v>
      </c>
      <c r="C10" s="5">
        <v>7083636309</v>
      </c>
      <c r="D10" s="5" t="s">
        <v>11</v>
      </c>
      <c r="E10" s="6">
        <v>44686</v>
      </c>
      <c r="F10" s="4" t="s">
        <v>22</v>
      </c>
      <c r="G10" s="6">
        <v>44707</v>
      </c>
      <c r="H10" s="4">
        <f t="shared" si="0"/>
        <v>21</v>
      </c>
      <c r="I10" s="4" t="s">
        <v>13</v>
      </c>
      <c r="J10" s="4">
        <f t="shared" si="1"/>
        <v>3000</v>
      </c>
      <c r="K10" s="4">
        <f t="shared" si="2"/>
        <v>63000</v>
      </c>
      <c r="L10" s="4">
        <v>3</v>
      </c>
      <c r="M10" s="4">
        <f t="shared" si="3"/>
        <v>1200</v>
      </c>
      <c r="N10" s="4">
        <f t="shared" si="4"/>
        <v>64200</v>
      </c>
      <c r="O10" s="4" t="str">
        <f t="shared" si="5"/>
        <v>7%</v>
      </c>
      <c r="P10" s="4">
        <f t="shared" si="6"/>
        <v>4494</v>
      </c>
      <c r="Q10" s="4">
        <f t="shared" si="7"/>
        <v>59706</v>
      </c>
      <c r="T10" s="1" t="s">
        <v>17</v>
      </c>
      <c r="U10" s="1">
        <f>COUNTIF($F$6:$F$97,"Skin")</f>
        <v>14</v>
      </c>
    </row>
    <row r="11" spans="1:21" x14ac:dyDescent="0.3">
      <c r="A11" s="4">
        <v>6</v>
      </c>
      <c r="B11" s="5" t="s">
        <v>23</v>
      </c>
      <c r="C11" s="5">
        <v>8866577031</v>
      </c>
      <c r="D11" s="5" t="s">
        <v>11</v>
      </c>
      <c r="E11" s="6">
        <v>44687</v>
      </c>
      <c r="F11" s="4" t="s">
        <v>12</v>
      </c>
      <c r="G11" s="6">
        <v>44696</v>
      </c>
      <c r="H11" s="4">
        <f t="shared" si="0"/>
        <v>9</v>
      </c>
      <c r="I11" s="4" t="s">
        <v>24</v>
      </c>
      <c r="J11" s="4">
        <f t="shared" si="1"/>
        <v>5000</v>
      </c>
      <c r="K11" s="4">
        <f t="shared" si="2"/>
        <v>45000</v>
      </c>
      <c r="L11" s="4">
        <v>5</v>
      </c>
      <c r="M11" s="4">
        <f t="shared" si="3"/>
        <v>2000</v>
      </c>
      <c r="N11" s="4">
        <f t="shared" si="4"/>
        <v>47000</v>
      </c>
      <c r="O11" s="4" t="str">
        <f t="shared" si="5"/>
        <v>7%</v>
      </c>
      <c r="P11" s="4">
        <f t="shared" si="6"/>
        <v>3290.0000000000005</v>
      </c>
      <c r="Q11" s="4">
        <f t="shared" si="7"/>
        <v>43710</v>
      </c>
      <c r="T11" s="1" t="s">
        <v>12</v>
      </c>
      <c r="U11" s="1">
        <f>COUNTIF($F$6:$F$97,"Surgery")</f>
        <v>16</v>
      </c>
    </row>
    <row r="12" spans="1:21" x14ac:dyDescent="0.3">
      <c r="A12" s="4">
        <v>7</v>
      </c>
      <c r="B12" s="5" t="s">
        <v>25</v>
      </c>
      <c r="C12" s="5">
        <v>8983246456</v>
      </c>
      <c r="D12" s="5" t="s">
        <v>11</v>
      </c>
      <c r="E12" s="6">
        <v>44688</v>
      </c>
      <c r="F12" s="4" t="s">
        <v>12</v>
      </c>
      <c r="G12" s="6">
        <v>44694</v>
      </c>
      <c r="H12" s="4">
        <f t="shared" si="0"/>
        <v>6</v>
      </c>
      <c r="I12" s="4" t="s">
        <v>13</v>
      </c>
      <c r="J12" s="4">
        <f t="shared" si="1"/>
        <v>3000</v>
      </c>
      <c r="K12" s="4">
        <f t="shared" si="2"/>
        <v>18000</v>
      </c>
      <c r="L12" s="4">
        <v>3</v>
      </c>
      <c r="M12" s="4">
        <f t="shared" si="3"/>
        <v>1200</v>
      </c>
      <c r="N12" s="4">
        <f t="shared" si="4"/>
        <v>19200</v>
      </c>
      <c r="O12" s="4" t="str">
        <f t="shared" si="5"/>
        <v>7%</v>
      </c>
      <c r="P12" s="4">
        <f t="shared" si="6"/>
        <v>1344.0000000000002</v>
      </c>
      <c r="Q12" s="4">
        <f t="shared" si="7"/>
        <v>17856</v>
      </c>
    </row>
    <row r="13" spans="1:21" x14ac:dyDescent="0.3">
      <c r="A13" s="4">
        <v>8</v>
      </c>
      <c r="B13" s="5" t="s">
        <v>26</v>
      </c>
      <c r="C13" s="5">
        <v>9673528282</v>
      </c>
      <c r="D13" s="5" t="s">
        <v>11</v>
      </c>
      <c r="E13" s="6">
        <v>44689</v>
      </c>
      <c r="F13" s="4" t="s">
        <v>15</v>
      </c>
      <c r="G13" s="6">
        <v>44711</v>
      </c>
      <c r="H13" s="4">
        <f t="shared" si="0"/>
        <v>22</v>
      </c>
      <c r="I13" s="4" t="s">
        <v>24</v>
      </c>
      <c r="J13" s="4">
        <f t="shared" si="1"/>
        <v>5000</v>
      </c>
      <c r="K13" s="4">
        <f t="shared" si="2"/>
        <v>110000</v>
      </c>
      <c r="L13" s="4">
        <v>2</v>
      </c>
      <c r="M13" s="4">
        <f t="shared" si="3"/>
        <v>800</v>
      </c>
      <c r="N13" s="4">
        <f t="shared" si="4"/>
        <v>110800</v>
      </c>
      <c r="O13" s="4" t="str">
        <f t="shared" si="5"/>
        <v>7%</v>
      </c>
      <c r="P13" s="4">
        <f t="shared" si="6"/>
        <v>7756.0000000000009</v>
      </c>
      <c r="Q13" s="4">
        <f t="shared" si="7"/>
        <v>103044</v>
      </c>
      <c r="S13" s="3" t="s">
        <v>131</v>
      </c>
    </row>
    <row r="14" spans="1:21" x14ac:dyDescent="0.3">
      <c r="A14" s="4">
        <v>9</v>
      </c>
      <c r="B14" s="5" t="s">
        <v>27</v>
      </c>
      <c r="C14" s="5">
        <v>8600555142</v>
      </c>
      <c r="D14" s="5" t="s">
        <v>11</v>
      </c>
      <c r="E14" s="6">
        <v>44690</v>
      </c>
      <c r="F14" s="4" t="s">
        <v>15</v>
      </c>
      <c r="G14" s="6">
        <v>44696</v>
      </c>
      <c r="H14" s="4">
        <f t="shared" si="0"/>
        <v>6</v>
      </c>
      <c r="I14" s="4" t="s">
        <v>20</v>
      </c>
      <c r="J14" s="4">
        <f t="shared" si="1"/>
        <v>9000</v>
      </c>
      <c r="K14" s="4">
        <f t="shared" si="2"/>
        <v>54000</v>
      </c>
      <c r="L14" s="4">
        <v>4</v>
      </c>
      <c r="M14" s="4">
        <f t="shared" si="3"/>
        <v>1600</v>
      </c>
      <c r="N14" s="4">
        <f t="shared" si="4"/>
        <v>55600</v>
      </c>
      <c r="O14" s="4" t="str">
        <f t="shared" si="5"/>
        <v>7%</v>
      </c>
      <c r="P14" s="4">
        <f t="shared" si="6"/>
        <v>3892.0000000000005</v>
      </c>
      <c r="Q14" s="4">
        <f t="shared" si="7"/>
        <v>51708</v>
      </c>
    </row>
    <row r="15" spans="1:21" x14ac:dyDescent="0.3">
      <c r="A15" s="4">
        <v>10</v>
      </c>
      <c r="B15" s="5" t="s">
        <v>28</v>
      </c>
      <c r="C15" s="5">
        <v>7507693482</v>
      </c>
      <c r="D15" s="5" t="s">
        <v>11</v>
      </c>
      <c r="E15" s="6">
        <v>44691</v>
      </c>
      <c r="F15" s="4" t="s">
        <v>15</v>
      </c>
      <c r="G15" s="6">
        <v>44706</v>
      </c>
      <c r="H15" s="4">
        <f t="shared" si="0"/>
        <v>15</v>
      </c>
      <c r="I15" s="4" t="s">
        <v>13</v>
      </c>
      <c r="J15" s="4">
        <f t="shared" si="1"/>
        <v>3000</v>
      </c>
      <c r="K15" s="4">
        <f t="shared" si="2"/>
        <v>45000</v>
      </c>
      <c r="L15" s="4">
        <v>6</v>
      </c>
      <c r="M15" s="4">
        <f t="shared" si="3"/>
        <v>2400</v>
      </c>
      <c r="N15" s="4">
        <f t="shared" si="4"/>
        <v>47400</v>
      </c>
      <c r="O15" s="4" t="str">
        <f t="shared" si="5"/>
        <v>7%</v>
      </c>
      <c r="P15" s="4">
        <f t="shared" si="6"/>
        <v>3318.0000000000005</v>
      </c>
      <c r="Q15" s="4">
        <f t="shared" si="7"/>
        <v>44082</v>
      </c>
      <c r="T15" s="2" t="s">
        <v>125</v>
      </c>
      <c r="U15" s="2" t="s">
        <v>117</v>
      </c>
    </row>
    <row r="16" spans="1:21" x14ac:dyDescent="0.3">
      <c r="A16" s="4">
        <v>11</v>
      </c>
      <c r="B16" s="5" t="s">
        <v>29</v>
      </c>
      <c r="C16" s="5">
        <v>7821036702</v>
      </c>
      <c r="D16" s="5" t="s">
        <v>11</v>
      </c>
      <c r="E16" s="6">
        <v>44692</v>
      </c>
      <c r="F16" s="4" t="s">
        <v>15</v>
      </c>
      <c r="G16" s="6">
        <v>44694</v>
      </c>
      <c r="H16" s="4">
        <f t="shared" si="0"/>
        <v>2</v>
      </c>
      <c r="I16" s="4" t="s">
        <v>24</v>
      </c>
      <c r="J16" s="4">
        <f t="shared" si="1"/>
        <v>5000</v>
      </c>
      <c r="K16" s="4">
        <f t="shared" si="2"/>
        <v>10000</v>
      </c>
      <c r="L16" s="4">
        <v>4</v>
      </c>
      <c r="M16" s="4">
        <f t="shared" si="3"/>
        <v>1600</v>
      </c>
      <c r="N16" s="4">
        <f t="shared" si="4"/>
        <v>11600</v>
      </c>
      <c r="O16" s="4" t="str">
        <f t="shared" si="5"/>
        <v>5%</v>
      </c>
      <c r="P16" s="4">
        <f t="shared" si="6"/>
        <v>580</v>
      </c>
      <c r="Q16" s="4">
        <f t="shared" si="7"/>
        <v>11020</v>
      </c>
      <c r="T16" s="1" t="s">
        <v>15</v>
      </c>
      <c r="U16" s="1">
        <f>SUMIF($F$6:$F$97,"Accident",$Q$6:$Q$97)</f>
        <v>657890</v>
      </c>
    </row>
    <row r="17" spans="1:21" x14ac:dyDescent="0.3">
      <c r="A17" s="4">
        <v>12</v>
      </c>
      <c r="B17" s="5" t="s">
        <v>30</v>
      </c>
      <c r="C17" s="5">
        <v>9325618263</v>
      </c>
      <c r="D17" s="5" t="s">
        <v>11</v>
      </c>
      <c r="E17" s="6">
        <v>44693</v>
      </c>
      <c r="F17" s="4" t="s">
        <v>17</v>
      </c>
      <c r="G17" s="6">
        <v>44701</v>
      </c>
      <c r="H17" s="4">
        <f t="shared" si="0"/>
        <v>8</v>
      </c>
      <c r="I17" s="4" t="s">
        <v>13</v>
      </c>
      <c r="J17" s="4">
        <f t="shared" si="1"/>
        <v>3000</v>
      </c>
      <c r="K17" s="4">
        <f t="shared" si="2"/>
        <v>24000</v>
      </c>
      <c r="L17" s="4">
        <v>5</v>
      </c>
      <c r="M17" s="4">
        <f t="shared" si="3"/>
        <v>2000</v>
      </c>
      <c r="N17" s="4">
        <f t="shared" si="4"/>
        <v>26000</v>
      </c>
      <c r="O17" s="4" t="str">
        <f t="shared" si="5"/>
        <v>7%</v>
      </c>
      <c r="P17" s="4">
        <f t="shared" si="6"/>
        <v>1820.0000000000002</v>
      </c>
      <c r="Q17" s="4">
        <f t="shared" si="7"/>
        <v>24180</v>
      </c>
      <c r="T17" s="1" t="s">
        <v>129</v>
      </c>
      <c r="U17" s="1">
        <f>SUMIF($F$6:$F$97,"Cesarean",$Q$6:$Q$97)</f>
        <v>387996</v>
      </c>
    </row>
    <row r="18" spans="1:21" x14ac:dyDescent="0.3">
      <c r="A18" s="4">
        <v>13</v>
      </c>
      <c r="B18" s="5" t="s">
        <v>31</v>
      </c>
      <c r="C18" s="5">
        <v>8767597134</v>
      </c>
      <c r="D18" s="5" t="s">
        <v>11</v>
      </c>
      <c r="E18" s="6">
        <v>44694</v>
      </c>
      <c r="F18" s="4" t="s">
        <v>19</v>
      </c>
      <c r="G18" s="6">
        <v>44711</v>
      </c>
      <c r="H18" s="4">
        <f t="shared" si="0"/>
        <v>17</v>
      </c>
      <c r="I18" s="4" t="s">
        <v>24</v>
      </c>
      <c r="J18" s="4">
        <f t="shared" si="1"/>
        <v>5000</v>
      </c>
      <c r="K18" s="4">
        <f t="shared" si="2"/>
        <v>85000</v>
      </c>
      <c r="L18" s="4">
        <v>4</v>
      </c>
      <c r="M18" s="4">
        <f t="shared" si="3"/>
        <v>1600</v>
      </c>
      <c r="N18" s="4">
        <f t="shared" si="4"/>
        <v>86600</v>
      </c>
      <c r="O18" s="4" t="str">
        <f t="shared" si="5"/>
        <v>7%</v>
      </c>
      <c r="P18" s="4">
        <f t="shared" si="6"/>
        <v>6062.0000000000009</v>
      </c>
      <c r="Q18" s="4">
        <f t="shared" si="7"/>
        <v>80538</v>
      </c>
      <c r="T18" s="1" t="s">
        <v>22</v>
      </c>
      <c r="U18" s="1">
        <f>SUMIF($F$6:$F$97,"Child",$Q$6:$Q$97)</f>
        <v>302360</v>
      </c>
    </row>
    <row r="19" spans="1:21" x14ac:dyDescent="0.3">
      <c r="A19" s="4">
        <v>14</v>
      </c>
      <c r="B19" s="5" t="s">
        <v>32</v>
      </c>
      <c r="C19" s="5">
        <v>9921003881</v>
      </c>
      <c r="D19" s="5" t="s">
        <v>11</v>
      </c>
      <c r="E19" s="6">
        <v>44695</v>
      </c>
      <c r="F19" s="4" t="s">
        <v>22</v>
      </c>
      <c r="G19" s="6">
        <v>44698</v>
      </c>
      <c r="H19" s="4">
        <f t="shared" si="0"/>
        <v>3</v>
      </c>
      <c r="I19" s="4" t="s">
        <v>13</v>
      </c>
      <c r="J19" s="4">
        <f t="shared" si="1"/>
        <v>3000</v>
      </c>
      <c r="K19" s="4">
        <f t="shared" si="2"/>
        <v>9000</v>
      </c>
      <c r="L19" s="4">
        <v>1</v>
      </c>
      <c r="M19" s="4">
        <f t="shared" si="3"/>
        <v>400</v>
      </c>
      <c r="N19" s="4">
        <f t="shared" si="4"/>
        <v>9400</v>
      </c>
      <c r="O19" s="4" t="str">
        <f t="shared" si="5"/>
        <v>3%</v>
      </c>
      <c r="P19" s="4">
        <f t="shared" si="6"/>
        <v>282</v>
      </c>
      <c r="Q19" s="4">
        <f t="shared" si="7"/>
        <v>9118</v>
      </c>
      <c r="T19" s="1" t="s">
        <v>128</v>
      </c>
      <c r="U19" s="1">
        <f>SUMIF($F$6:$F$97,"Fracture",$Q$6:$Q$97)</f>
        <v>337982</v>
      </c>
    </row>
    <row r="20" spans="1:21" x14ac:dyDescent="0.3">
      <c r="A20" s="4">
        <v>15</v>
      </c>
      <c r="B20" s="5" t="s">
        <v>33</v>
      </c>
      <c r="C20" s="5">
        <v>8659324716</v>
      </c>
      <c r="D20" s="5" t="s">
        <v>11</v>
      </c>
      <c r="E20" s="6">
        <v>44696</v>
      </c>
      <c r="F20" s="4" t="s">
        <v>19</v>
      </c>
      <c r="G20" s="6">
        <v>44704</v>
      </c>
      <c r="H20" s="4">
        <f t="shared" si="0"/>
        <v>8</v>
      </c>
      <c r="I20" s="4" t="s">
        <v>20</v>
      </c>
      <c r="J20" s="4">
        <f t="shared" si="1"/>
        <v>9000</v>
      </c>
      <c r="K20" s="4">
        <f t="shared" si="2"/>
        <v>72000</v>
      </c>
      <c r="L20" s="4">
        <v>3</v>
      </c>
      <c r="M20" s="4">
        <f t="shared" si="3"/>
        <v>1200</v>
      </c>
      <c r="N20" s="4">
        <f t="shared" si="4"/>
        <v>73200</v>
      </c>
      <c r="O20" s="4" t="str">
        <f t="shared" si="5"/>
        <v>7%</v>
      </c>
      <c r="P20" s="4">
        <f t="shared" si="6"/>
        <v>5124.0000000000009</v>
      </c>
      <c r="Q20" s="4">
        <f t="shared" si="7"/>
        <v>68076</v>
      </c>
      <c r="T20" s="1" t="s">
        <v>19</v>
      </c>
      <c r="U20" s="1">
        <f>SUMIF($F$6:$F$97,"Heart",$Q$6:$Q$97)</f>
        <v>1036302</v>
      </c>
    </row>
    <row r="21" spans="1:21" x14ac:dyDescent="0.3">
      <c r="A21" s="4">
        <v>16</v>
      </c>
      <c r="B21" s="5" t="s">
        <v>34</v>
      </c>
      <c r="C21" s="5">
        <v>9505971235</v>
      </c>
      <c r="D21" s="5" t="s">
        <v>11</v>
      </c>
      <c r="E21" s="6">
        <v>44697</v>
      </c>
      <c r="F21" s="4" t="s">
        <v>12</v>
      </c>
      <c r="G21" s="6">
        <v>44701</v>
      </c>
      <c r="H21" s="4">
        <f t="shared" si="0"/>
        <v>4</v>
      </c>
      <c r="I21" s="4" t="s">
        <v>24</v>
      </c>
      <c r="J21" s="4">
        <f t="shared" si="1"/>
        <v>5000</v>
      </c>
      <c r="K21" s="4">
        <f t="shared" si="2"/>
        <v>20000</v>
      </c>
      <c r="L21" s="4">
        <v>2</v>
      </c>
      <c r="M21" s="4">
        <f t="shared" si="3"/>
        <v>800</v>
      </c>
      <c r="N21" s="4">
        <f t="shared" si="4"/>
        <v>20800</v>
      </c>
      <c r="O21" s="4" t="str">
        <f t="shared" si="5"/>
        <v>7%</v>
      </c>
      <c r="P21" s="4">
        <f t="shared" si="6"/>
        <v>1456.0000000000002</v>
      </c>
      <c r="Q21" s="4">
        <f t="shared" si="7"/>
        <v>19344</v>
      </c>
      <c r="T21" s="1" t="s">
        <v>17</v>
      </c>
      <c r="U21" s="1">
        <f>SUMIF($F$6:$F$97,"Skin",$Q$6:$Q$97)</f>
        <v>588132</v>
      </c>
    </row>
    <row r="22" spans="1:21" x14ac:dyDescent="0.3">
      <c r="A22" s="4">
        <v>17</v>
      </c>
      <c r="B22" s="5" t="s">
        <v>35</v>
      </c>
      <c r="C22" s="5">
        <v>9923703614</v>
      </c>
      <c r="D22" s="5" t="s">
        <v>11</v>
      </c>
      <c r="E22" s="6">
        <v>44698</v>
      </c>
      <c r="F22" s="4" t="s">
        <v>15</v>
      </c>
      <c r="G22" s="6">
        <v>44704</v>
      </c>
      <c r="H22" s="4">
        <f t="shared" si="0"/>
        <v>6</v>
      </c>
      <c r="I22" s="4" t="s">
        <v>13</v>
      </c>
      <c r="J22" s="4">
        <f t="shared" si="1"/>
        <v>3000</v>
      </c>
      <c r="K22" s="4">
        <f t="shared" si="2"/>
        <v>18000</v>
      </c>
      <c r="L22" s="4">
        <v>4</v>
      </c>
      <c r="M22" s="4">
        <f t="shared" si="3"/>
        <v>1600</v>
      </c>
      <c r="N22" s="4">
        <f t="shared" si="4"/>
        <v>19600</v>
      </c>
      <c r="O22" s="4" t="str">
        <f t="shared" si="5"/>
        <v>7%</v>
      </c>
      <c r="P22" s="4">
        <f t="shared" si="6"/>
        <v>1372.0000000000002</v>
      </c>
      <c r="Q22" s="4">
        <f t="shared" si="7"/>
        <v>18228</v>
      </c>
      <c r="T22" s="1" t="s">
        <v>12</v>
      </c>
      <c r="U22" s="1">
        <f>SUMIF($F$6:$F$97,"Surgery",$Q$6:$Q$97)</f>
        <v>637424</v>
      </c>
    </row>
    <row r="23" spans="1:21" x14ac:dyDescent="0.3">
      <c r="A23" s="4">
        <v>18</v>
      </c>
      <c r="B23" s="5" t="s">
        <v>36</v>
      </c>
      <c r="C23" s="5">
        <v>9284136886</v>
      </c>
      <c r="D23" s="5" t="s">
        <v>11</v>
      </c>
      <c r="E23" s="6">
        <v>44699</v>
      </c>
      <c r="F23" s="4" t="s">
        <v>12</v>
      </c>
      <c r="G23" s="6">
        <v>44700</v>
      </c>
      <c r="H23" s="4">
        <f t="shared" si="0"/>
        <v>1</v>
      </c>
      <c r="I23" s="4" t="s">
        <v>24</v>
      </c>
      <c r="J23" s="4">
        <f t="shared" si="1"/>
        <v>5000</v>
      </c>
      <c r="K23" s="4">
        <f t="shared" si="2"/>
        <v>5000</v>
      </c>
      <c r="L23" s="4">
        <v>6</v>
      </c>
      <c r="M23" s="4">
        <f t="shared" si="3"/>
        <v>2400</v>
      </c>
      <c r="N23" s="4">
        <f t="shared" si="4"/>
        <v>7400</v>
      </c>
      <c r="O23" s="4" t="str">
        <f t="shared" si="5"/>
        <v>3%</v>
      </c>
      <c r="P23" s="4">
        <f t="shared" si="6"/>
        <v>222</v>
      </c>
      <c r="Q23" s="4">
        <f t="shared" si="7"/>
        <v>7178</v>
      </c>
    </row>
    <row r="24" spans="1:21" x14ac:dyDescent="0.3">
      <c r="A24" s="4">
        <v>19</v>
      </c>
      <c r="B24" s="5" t="s">
        <v>37</v>
      </c>
      <c r="C24" s="5">
        <v>8810669708</v>
      </c>
      <c r="D24" s="5" t="s">
        <v>11</v>
      </c>
      <c r="E24" s="6">
        <v>44700</v>
      </c>
      <c r="F24" s="4" t="s">
        <v>15</v>
      </c>
      <c r="G24" s="6">
        <v>44710</v>
      </c>
      <c r="H24" s="4">
        <f t="shared" si="0"/>
        <v>10</v>
      </c>
      <c r="I24" s="4" t="s">
        <v>13</v>
      </c>
      <c r="J24" s="4">
        <f t="shared" si="1"/>
        <v>3000</v>
      </c>
      <c r="K24" s="4">
        <f t="shared" si="2"/>
        <v>30000</v>
      </c>
      <c r="L24" s="4">
        <v>1</v>
      </c>
      <c r="M24" s="4">
        <f t="shared" si="3"/>
        <v>400</v>
      </c>
      <c r="N24" s="4">
        <f t="shared" si="4"/>
        <v>30400</v>
      </c>
      <c r="O24" s="4" t="str">
        <f t="shared" si="5"/>
        <v>7%</v>
      </c>
      <c r="P24" s="4">
        <f t="shared" si="6"/>
        <v>2128</v>
      </c>
      <c r="Q24" s="4">
        <f t="shared" si="7"/>
        <v>28272</v>
      </c>
    </row>
    <row r="25" spans="1:21" x14ac:dyDescent="0.3">
      <c r="A25" s="4">
        <v>20</v>
      </c>
      <c r="B25" s="5" t="s">
        <v>38</v>
      </c>
      <c r="C25" s="5">
        <v>8600995999</v>
      </c>
      <c r="D25" s="5" t="s">
        <v>11</v>
      </c>
      <c r="E25" s="6">
        <v>44701</v>
      </c>
      <c r="F25" s="4" t="s">
        <v>17</v>
      </c>
      <c r="G25" s="6">
        <v>44710</v>
      </c>
      <c r="H25" s="4">
        <f t="shared" si="0"/>
        <v>9</v>
      </c>
      <c r="I25" s="4" t="s">
        <v>13</v>
      </c>
      <c r="J25" s="4">
        <f t="shared" si="1"/>
        <v>3000</v>
      </c>
      <c r="K25" s="4">
        <f t="shared" si="2"/>
        <v>27000</v>
      </c>
      <c r="L25" s="4">
        <v>3</v>
      </c>
      <c r="M25" s="4">
        <f t="shared" si="3"/>
        <v>1200</v>
      </c>
      <c r="N25" s="4">
        <f t="shared" si="4"/>
        <v>28200</v>
      </c>
      <c r="O25" s="4" t="str">
        <f t="shared" si="5"/>
        <v>7%</v>
      </c>
      <c r="P25" s="4">
        <f t="shared" si="6"/>
        <v>1974.0000000000002</v>
      </c>
      <c r="Q25" s="4">
        <f t="shared" si="7"/>
        <v>26226</v>
      </c>
    </row>
    <row r="26" spans="1:21" x14ac:dyDescent="0.3">
      <c r="A26" s="4">
        <v>21</v>
      </c>
      <c r="B26" s="5" t="s">
        <v>39</v>
      </c>
      <c r="C26" s="5">
        <v>9561489730</v>
      </c>
      <c r="D26" s="5" t="s">
        <v>11</v>
      </c>
      <c r="E26" s="6">
        <v>44702</v>
      </c>
      <c r="F26" s="4" t="s">
        <v>19</v>
      </c>
      <c r="G26" s="6">
        <v>44711</v>
      </c>
      <c r="H26" s="4">
        <f t="shared" si="0"/>
        <v>9</v>
      </c>
      <c r="I26" s="4" t="s">
        <v>20</v>
      </c>
      <c r="J26" s="4">
        <f t="shared" si="1"/>
        <v>9000</v>
      </c>
      <c r="K26" s="4">
        <f t="shared" si="2"/>
        <v>81000</v>
      </c>
      <c r="L26" s="4">
        <v>5</v>
      </c>
      <c r="M26" s="4">
        <f t="shared" si="3"/>
        <v>2000</v>
      </c>
      <c r="N26" s="4">
        <f t="shared" si="4"/>
        <v>83000</v>
      </c>
      <c r="O26" s="4" t="str">
        <f t="shared" si="5"/>
        <v>7%</v>
      </c>
      <c r="P26" s="4">
        <f t="shared" si="6"/>
        <v>5810.0000000000009</v>
      </c>
      <c r="Q26" s="4">
        <f t="shared" si="7"/>
        <v>77190</v>
      </c>
    </row>
    <row r="27" spans="1:21" x14ac:dyDescent="0.3">
      <c r="A27" s="4">
        <v>22</v>
      </c>
      <c r="B27" s="5" t="s">
        <v>40</v>
      </c>
      <c r="C27" s="5">
        <v>8668906719</v>
      </c>
      <c r="D27" s="5" t="s">
        <v>11</v>
      </c>
      <c r="E27" s="6">
        <v>44703</v>
      </c>
      <c r="F27" s="4" t="s">
        <v>15</v>
      </c>
      <c r="G27" s="6">
        <v>44713</v>
      </c>
      <c r="H27" s="4">
        <f t="shared" si="0"/>
        <v>10</v>
      </c>
      <c r="I27" s="4" t="s">
        <v>13</v>
      </c>
      <c r="J27" s="4">
        <f t="shared" si="1"/>
        <v>3000</v>
      </c>
      <c r="K27" s="4">
        <f t="shared" si="2"/>
        <v>30000</v>
      </c>
      <c r="L27" s="4">
        <v>3</v>
      </c>
      <c r="M27" s="4">
        <f t="shared" si="3"/>
        <v>1200</v>
      </c>
      <c r="N27" s="4">
        <f t="shared" si="4"/>
        <v>31200</v>
      </c>
      <c r="O27" s="4" t="str">
        <f t="shared" si="5"/>
        <v>7%</v>
      </c>
      <c r="P27" s="4">
        <f t="shared" si="6"/>
        <v>2184</v>
      </c>
      <c r="Q27" s="4">
        <f t="shared" si="7"/>
        <v>29016</v>
      </c>
    </row>
    <row r="28" spans="1:21" x14ac:dyDescent="0.3">
      <c r="A28" s="4">
        <v>23</v>
      </c>
      <c r="B28" s="5" t="s">
        <v>41</v>
      </c>
      <c r="C28" s="5">
        <v>8105046369</v>
      </c>
      <c r="D28" s="5" t="s">
        <v>11</v>
      </c>
      <c r="E28" s="6">
        <v>44704</v>
      </c>
      <c r="F28" s="4" t="s">
        <v>17</v>
      </c>
      <c r="G28" s="6">
        <v>44713</v>
      </c>
      <c r="H28" s="4">
        <f t="shared" si="0"/>
        <v>9</v>
      </c>
      <c r="I28" s="4" t="s">
        <v>13</v>
      </c>
      <c r="J28" s="4">
        <f t="shared" si="1"/>
        <v>3000</v>
      </c>
      <c r="K28" s="4">
        <f t="shared" si="2"/>
        <v>27000</v>
      </c>
      <c r="L28" s="4">
        <v>2</v>
      </c>
      <c r="M28" s="4">
        <f t="shared" si="3"/>
        <v>800</v>
      </c>
      <c r="N28" s="4">
        <f t="shared" si="4"/>
        <v>27800</v>
      </c>
      <c r="O28" s="4" t="str">
        <f t="shared" si="5"/>
        <v>7%</v>
      </c>
      <c r="P28" s="4">
        <f t="shared" si="6"/>
        <v>1946.0000000000002</v>
      </c>
      <c r="Q28" s="4">
        <f t="shared" si="7"/>
        <v>25854</v>
      </c>
    </row>
    <row r="29" spans="1:21" x14ac:dyDescent="0.3">
      <c r="A29" s="4">
        <v>24</v>
      </c>
      <c r="B29" s="5" t="s">
        <v>42</v>
      </c>
      <c r="C29" s="5">
        <v>9011798080</v>
      </c>
      <c r="D29" s="5" t="s">
        <v>11</v>
      </c>
      <c r="E29" s="6">
        <v>44705</v>
      </c>
      <c r="F29" s="4" t="s">
        <v>19</v>
      </c>
      <c r="G29" s="6">
        <v>44715</v>
      </c>
      <c r="H29" s="4">
        <f t="shared" si="0"/>
        <v>10</v>
      </c>
      <c r="I29" s="4" t="s">
        <v>20</v>
      </c>
      <c r="J29" s="4">
        <f t="shared" si="1"/>
        <v>9000</v>
      </c>
      <c r="K29" s="4">
        <f t="shared" si="2"/>
        <v>90000</v>
      </c>
      <c r="L29" s="4">
        <v>4</v>
      </c>
      <c r="M29" s="4">
        <f t="shared" si="3"/>
        <v>1600</v>
      </c>
      <c r="N29" s="4">
        <f t="shared" si="4"/>
        <v>91600</v>
      </c>
      <c r="O29" s="4" t="str">
        <f t="shared" si="5"/>
        <v>7%</v>
      </c>
      <c r="P29" s="4">
        <f t="shared" si="6"/>
        <v>6412.0000000000009</v>
      </c>
      <c r="Q29" s="4">
        <f t="shared" si="7"/>
        <v>85188</v>
      </c>
    </row>
    <row r="30" spans="1:21" x14ac:dyDescent="0.3">
      <c r="A30" s="4">
        <v>25</v>
      </c>
      <c r="B30" s="5" t="s">
        <v>43</v>
      </c>
      <c r="C30" s="5">
        <v>8600551421</v>
      </c>
      <c r="D30" s="5" t="s">
        <v>11</v>
      </c>
      <c r="E30" s="6">
        <v>44706</v>
      </c>
      <c r="F30" s="4" t="s">
        <v>128</v>
      </c>
      <c r="G30" s="6">
        <v>44713</v>
      </c>
      <c r="H30" s="4">
        <f t="shared" si="0"/>
        <v>7</v>
      </c>
      <c r="I30" s="4" t="s">
        <v>13</v>
      </c>
      <c r="J30" s="4">
        <f t="shared" si="1"/>
        <v>3000</v>
      </c>
      <c r="K30" s="4">
        <f t="shared" si="2"/>
        <v>21000</v>
      </c>
      <c r="L30" s="4">
        <v>3</v>
      </c>
      <c r="M30" s="4">
        <f t="shared" si="3"/>
        <v>1200</v>
      </c>
      <c r="N30" s="4">
        <f t="shared" si="4"/>
        <v>22200</v>
      </c>
      <c r="O30" s="4" t="str">
        <f t="shared" si="5"/>
        <v>7%</v>
      </c>
      <c r="P30" s="4">
        <f t="shared" si="6"/>
        <v>1554.0000000000002</v>
      </c>
      <c r="Q30" s="4">
        <f t="shared" si="7"/>
        <v>20646</v>
      </c>
    </row>
    <row r="31" spans="1:21" x14ac:dyDescent="0.3">
      <c r="A31" s="4">
        <v>26</v>
      </c>
      <c r="B31" s="5" t="s">
        <v>44</v>
      </c>
      <c r="C31" s="5">
        <v>9874563210</v>
      </c>
      <c r="D31" s="5" t="s">
        <v>11</v>
      </c>
      <c r="E31" s="6">
        <v>44707</v>
      </c>
      <c r="F31" s="4" t="s">
        <v>128</v>
      </c>
      <c r="G31" s="6">
        <v>44717</v>
      </c>
      <c r="H31" s="4">
        <f t="shared" si="0"/>
        <v>10</v>
      </c>
      <c r="I31" s="4" t="s">
        <v>13</v>
      </c>
      <c r="J31" s="4">
        <f t="shared" si="1"/>
        <v>3000</v>
      </c>
      <c r="K31" s="4">
        <f t="shared" si="2"/>
        <v>30000</v>
      </c>
      <c r="L31" s="4">
        <v>3</v>
      </c>
      <c r="M31" s="4">
        <f t="shared" si="3"/>
        <v>1200</v>
      </c>
      <c r="N31" s="4">
        <f t="shared" si="4"/>
        <v>31200</v>
      </c>
      <c r="O31" s="4" t="str">
        <f t="shared" si="5"/>
        <v>7%</v>
      </c>
      <c r="P31" s="4">
        <f t="shared" si="6"/>
        <v>2184</v>
      </c>
      <c r="Q31" s="4">
        <f t="shared" si="7"/>
        <v>29016</v>
      </c>
    </row>
    <row r="32" spans="1:21" x14ac:dyDescent="0.3">
      <c r="A32" s="4">
        <v>27</v>
      </c>
      <c r="B32" s="5" t="s">
        <v>45</v>
      </c>
      <c r="C32" s="5">
        <v>9781053232</v>
      </c>
      <c r="D32" s="5" t="s">
        <v>11</v>
      </c>
      <c r="E32" s="6">
        <v>44708</v>
      </c>
      <c r="F32" s="4" t="s">
        <v>19</v>
      </c>
      <c r="G32" s="6">
        <v>44718</v>
      </c>
      <c r="H32" s="4">
        <f t="shared" si="0"/>
        <v>10</v>
      </c>
      <c r="I32" s="4" t="s">
        <v>20</v>
      </c>
      <c r="J32" s="4">
        <f t="shared" si="1"/>
        <v>9000</v>
      </c>
      <c r="K32" s="4">
        <f t="shared" si="2"/>
        <v>90000</v>
      </c>
      <c r="L32" s="4">
        <v>2</v>
      </c>
      <c r="M32" s="4">
        <f t="shared" si="3"/>
        <v>800</v>
      </c>
      <c r="N32" s="4">
        <f t="shared" si="4"/>
        <v>90800</v>
      </c>
      <c r="O32" s="4" t="str">
        <f t="shared" si="5"/>
        <v>7%</v>
      </c>
      <c r="P32" s="4">
        <f t="shared" si="6"/>
        <v>6356.0000000000009</v>
      </c>
      <c r="Q32" s="4">
        <f t="shared" si="7"/>
        <v>84444</v>
      </c>
    </row>
    <row r="33" spans="1:17" x14ac:dyDescent="0.3">
      <c r="A33" s="4">
        <v>28</v>
      </c>
      <c r="B33" s="5" t="s">
        <v>46</v>
      </c>
      <c r="C33" s="5">
        <v>8669980083</v>
      </c>
      <c r="D33" s="5" t="s">
        <v>11</v>
      </c>
      <c r="E33" s="6">
        <v>44709</v>
      </c>
      <c r="F33" s="4" t="s">
        <v>12</v>
      </c>
      <c r="G33" s="6">
        <v>44715</v>
      </c>
      <c r="H33" s="4">
        <f t="shared" si="0"/>
        <v>6</v>
      </c>
      <c r="I33" s="4" t="s">
        <v>13</v>
      </c>
      <c r="J33" s="4">
        <f t="shared" si="1"/>
        <v>3000</v>
      </c>
      <c r="K33" s="4">
        <f t="shared" si="2"/>
        <v>18000</v>
      </c>
      <c r="L33" s="4">
        <v>4</v>
      </c>
      <c r="M33" s="4">
        <f t="shared" si="3"/>
        <v>1600</v>
      </c>
      <c r="N33" s="4">
        <f t="shared" si="4"/>
        <v>19600</v>
      </c>
      <c r="O33" s="4" t="str">
        <f t="shared" si="5"/>
        <v>7%</v>
      </c>
      <c r="P33" s="4">
        <f t="shared" si="6"/>
        <v>1372.0000000000002</v>
      </c>
      <c r="Q33" s="4">
        <f t="shared" si="7"/>
        <v>18228</v>
      </c>
    </row>
    <row r="34" spans="1:17" x14ac:dyDescent="0.3">
      <c r="A34" s="4">
        <v>29</v>
      </c>
      <c r="B34" s="5" t="s">
        <v>47</v>
      </c>
      <c r="C34" s="5">
        <v>9899524199</v>
      </c>
      <c r="D34" s="5" t="s">
        <v>11</v>
      </c>
      <c r="E34" s="6">
        <v>44710</v>
      </c>
      <c r="F34" s="4" t="s">
        <v>15</v>
      </c>
      <c r="G34" s="6">
        <v>44714</v>
      </c>
      <c r="H34" s="4">
        <f t="shared" si="0"/>
        <v>4</v>
      </c>
      <c r="I34" s="4" t="s">
        <v>13</v>
      </c>
      <c r="J34" s="4">
        <f t="shared" si="1"/>
        <v>3000</v>
      </c>
      <c r="K34" s="4">
        <f t="shared" si="2"/>
        <v>12000</v>
      </c>
      <c r="L34" s="4">
        <v>6</v>
      </c>
      <c r="M34" s="4">
        <f t="shared" si="3"/>
        <v>2400</v>
      </c>
      <c r="N34" s="4">
        <f t="shared" si="4"/>
        <v>14400</v>
      </c>
      <c r="O34" s="4" t="str">
        <f t="shared" si="5"/>
        <v>5%</v>
      </c>
      <c r="P34" s="4">
        <f t="shared" si="6"/>
        <v>720</v>
      </c>
      <c r="Q34" s="4">
        <f t="shared" si="7"/>
        <v>13680</v>
      </c>
    </row>
    <row r="35" spans="1:17" x14ac:dyDescent="0.3">
      <c r="A35" s="4">
        <v>30</v>
      </c>
      <c r="B35" s="5" t="s">
        <v>48</v>
      </c>
      <c r="C35" s="5">
        <v>9028775069</v>
      </c>
      <c r="D35" s="5" t="s">
        <v>11</v>
      </c>
      <c r="E35" s="6">
        <v>44711</v>
      </c>
      <c r="F35" s="4" t="s">
        <v>17</v>
      </c>
      <c r="G35" s="6">
        <v>44721</v>
      </c>
      <c r="H35" s="4">
        <f t="shared" si="0"/>
        <v>10</v>
      </c>
      <c r="I35" s="4" t="s">
        <v>24</v>
      </c>
      <c r="J35" s="4">
        <f t="shared" si="1"/>
        <v>5000</v>
      </c>
      <c r="K35" s="4">
        <f t="shared" si="2"/>
        <v>50000</v>
      </c>
      <c r="L35" s="4">
        <v>1</v>
      </c>
      <c r="M35" s="4">
        <f t="shared" si="3"/>
        <v>400</v>
      </c>
      <c r="N35" s="4">
        <f t="shared" si="4"/>
        <v>50400</v>
      </c>
      <c r="O35" s="4" t="str">
        <f t="shared" si="5"/>
        <v>7%</v>
      </c>
      <c r="P35" s="4">
        <f t="shared" si="6"/>
        <v>3528.0000000000005</v>
      </c>
      <c r="Q35" s="4">
        <f t="shared" si="7"/>
        <v>46872</v>
      </c>
    </row>
    <row r="36" spans="1:17" x14ac:dyDescent="0.3">
      <c r="A36" s="4">
        <v>31</v>
      </c>
      <c r="B36" s="5" t="s">
        <v>49</v>
      </c>
      <c r="C36" s="5">
        <v>8888857677</v>
      </c>
      <c r="D36" s="5" t="s">
        <v>11</v>
      </c>
      <c r="E36" s="6">
        <v>44712</v>
      </c>
      <c r="F36" s="4" t="s">
        <v>19</v>
      </c>
      <c r="G36" s="6">
        <v>44730</v>
      </c>
      <c r="H36" s="4">
        <f t="shared" si="0"/>
        <v>18</v>
      </c>
      <c r="I36" s="4" t="s">
        <v>20</v>
      </c>
      <c r="J36" s="4">
        <f t="shared" si="1"/>
        <v>9000</v>
      </c>
      <c r="K36" s="4">
        <f t="shared" si="2"/>
        <v>162000</v>
      </c>
      <c r="L36" s="4">
        <v>3</v>
      </c>
      <c r="M36" s="4">
        <f t="shared" si="3"/>
        <v>1200</v>
      </c>
      <c r="N36" s="4">
        <f t="shared" si="4"/>
        <v>163200</v>
      </c>
      <c r="O36" s="4" t="str">
        <f t="shared" si="5"/>
        <v>7%</v>
      </c>
      <c r="P36" s="4">
        <f t="shared" si="6"/>
        <v>11424.000000000002</v>
      </c>
      <c r="Q36" s="4">
        <f t="shared" si="7"/>
        <v>151776</v>
      </c>
    </row>
    <row r="37" spans="1:17" x14ac:dyDescent="0.3">
      <c r="A37" s="4">
        <v>32</v>
      </c>
      <c r="B37" s="5" t="s">
        <v>50</v>
      </c>
      <c r="C37" s="5">
        <v>8600402060</v>
      </c>
      <c r="D37" s="5" t="s">
        <v>51</v>
      </c>
      <c r="E37" s="6">
        <v>44713</v>
      </c>
      <c r="F37" s="4" t="s">
        <v>15</v>
      </c>
      <c r="G37" s="6">
        <v>44727</v>
      </c>
      <c r="H37" s="4">
        <f t="shared" si="0"/>
        <v>14</v>
      </c>
      <c r="I37" s="4" t="s">
        <v>24</v>
      </c>
      <c r="J37" s="4">
        <f t="shared" si="1"/>
        <v>5000</v>
      </c>
      <c r="K37" s="4">
        <f t="shared" si="2"/>
        <v>70000</v>
      </c>
      <c r="L37" s="4">
        <v>5</v>
      </c>
      <c r="M37" s="4">
        <f t="shared" si="3"/>
        <v>2000</v>
      </c>
      <c r="N37" s="4">
        <f t="shared" si="4"/>
        <v>72000</v>
      </c>
      <c r="O37" s="4" t="str">
        <f t="shared" si="5"/>
        <v>7%</v>
      </c>
      <c r="P37" s="4">
        <f t="shared" si="6"/>
        <v>5040.0000000000009</v>
      </c>
      <c r="Q37" s="4">
        <f t="shared" si="7"/>
        <v>66960</v>
      </c>
    </row>
    <row r="38" spans="1:17" x14ac:dyDescent="0.3">
      <c r="A38" s="4">
        <v>33</v>
      </c>
      <c r="B38" s="5" t="s">
        <v>52</v>
      </c>
      <c r="C38" s="5">
        <v>7083636309</v>
      </c>
      <c r="D38" s="5" t="s">
        <v>51</v>
      </c>
      <c r="E38" s="6">
        <v>44714</v>
      </c>
      <c r="F38" s="4" t="s">
        <v>17</v>
      </c>
      <c r="G38" s="6">
        <v>44730</v>
      </c>
      <c r="H38" s="4">
        <f t="shared" si="0"/>
        <v>16</v>
      </c>
      <c r="I38" s="4" t="s">
        <v>13</v>
      </c>
      <c r="J38" s="4">
        <f t="shared" si="1"/>
        <v>3000</v>
      </c>
      <c r="K38" s="4">
        <f t="shared" si="2"/>
        <v>48000</v>
      </c>
      <c r="L38" s="4">
        <v>3</v>
      </c>
      <c r="M38" s="4">
        <f t="shared" si="3"/>
        <v>1200</v>
      </c>
      <c r="N38" s="4">
        <f t="shared" si="4"/>
        <v>49200</v>
      </c>
      <c r="O38" s="4" t="str">
        <f t="shared" si="5"/>
        <v>7%</v>
      </c>
      <c r="P38" s="4">
        <f t="shared" si="6"/>
        <v>3444.0000000000005</v>
      </c>
      <c r="Q38" s="4">
        <f t="shared" si="7"/>
        <v>45756</v>
      </c>
    </row>
    <row r="39" spans="1:17" x14ac:dyDescent="0.3">
      <c r="A39" s="4">
        <v>34</v>
      </c>
      <c r="B39" s="5" t="s">
        <v>53</v>
      </c>
      <c r="C39" s="5">
        <v>8866577031</v>
      </c>
      <c r="D39" s="5" t="s">
        <v>51</v>
      </c>
      <c r="E39" s="6">
        <v>44715</v>
      </c>
      <c r="F39" s="4" t="s">
        <v>19</v>
      </c>
      <c r="G39" s="6">
        <v>44732</v>
      </c>
      <c r="H39" s="4">
        <f t="shared" si="0"/>
        <v>17</v>
      </c>
      <c r="I39" s="4" t="s">
        <v>20</v>
      </c>
      <c r="J39" s="4">
        <f t="shared" si="1"/>
        <v>9000</v>
      </c>
      <c r="K39" s="4">
        <f t="shared" si="2"/>
        <v>153000</v>
      </c>
      <c r="L39" s="4">
        <v>2</v>
      </c>
      <c r="M39" s="4">
        <f t="shared" si="3"/>
        <v>800</v>
      </c>
      <c r="N39" s="4">
        <f t="shared" si="4"/>
        <v>153800</v>
      </c>
      <c r="O39" s="4" t="str">
        <f t="shared" si="5"/>
        <v>7%</v>
      </c>
      <c r="P39" s="4">
        <f t="shared" si="6"/>
        <v>10766.000000000002</v>
      </c>
      <c r="Q39" s="4">
        <f t="shared" si="7"/>
        <v>143034</v>
      </c>
    </row>
    <row r="40" spans="1:17" x14ac:dyDescent="0.3">
      <c r="A40" s="4">
        <v>35</v>
      </c>
      <c r="B40" s="5" t="s">
        <v>54</v>
      </c>
      <c r="C40" s="5">
        <v>8983246456</v>
      </c>
      <c r="D40" s="5" t="s">
        <v>51</v>
      </c>
      <c r="E40" s="6">
        <v>44716</v>
      </c>
      <c r="F40" s="4" t="s">
        <v>128</v>
      </c>
      <c r="G40" s="6">
        <v>44736</v>
      </c>
      <c r="H40" s="4">
        <f t="shared" si="0"/>
        <v>20</v>
      </c>
      <c r="I40" s="4" t="s">
        <v>24</v>
      </c>
      <c r="J40" s="4">
        <f t="shared" si="1"/>
        <v>5000</v>
      </c>
      <c r="K40" s="4">
        <f t="shared" si="2"/>
        <v>100000</v>
      </c>
      <c r="L40" s="4">
        <v>4</v>
      </c>
      <c r="M40" s="4">
        <f t="shared" si="3"/>
        <v>1600</v>
      </c>
      <c r="N40" s="4">
        <f t="shared" si="4"/>
        <v>101600</v>
      </c>
      <c r="O40" s="4" t="str">
        <f t="shared" si="5"/>
        <v>7%</v>
      </c>
      <c r="P40" s="4">
        <f t="shared" si="6"/>
        <v>7112.0000000000009</v>
      </c>
      <c r="Q40" s="4">
        <f t="shared" si="7"/>
        <v>94488</v>
      </c>
    </row>
    <row r="41" spans="1:17" x14ac:dyDescent="0.3">
      <c r="A41" s="4">
        <v>36</v>
      </c>
      <c r="B41" s="5" t="s">
        <v>55</v>
      </c>
      <c r="C41" s="5">
        <v>9673528282</v>
      </c>
      <c r="D41" s="5" t="s">
        <v>51</v>
      </c>
      <c r="E41" s="6">
        <v>44717</v>
      </c>
      <c r="F41" s="4" t="s">
        <v>19</v>
      </c>
      <c r="G41" s="6">
        <v>44729</v>
      </c>
      <c r="H41" s="4">
        <f t="shared" si="0"/>
        <v>12</v>
      </c>
      <c r="I41" s="4" t="s">
        <v>13</v>
      </c>
      <c r="J41" s="4">
        <f t="shared" si="1"/>
        <v>3000</v>
      </c>
      <c r="K41" s="4">
        <f t="shared" si="2"/>
        <v>36000</v>
      </c>
      <c r="L41" s="4">
        <v>2</v>
      </c>
      <c r="M41" s="4">
        <f t="shared" si="3"/>
        <v>800</v>
      </c>
      <c r="N41" s="4">
        <f t="shared" si="4"/>
        <v>36800</v>
      </c>
      <c r="O41" s="4" t="str">
        <f t="shared" si="5"/>
        <v>7%</v>
      </c>
      <c r="P41" s="4">
        <f t="shared" si="6"/>
        <v>2576.0000000000005</v>
      </c>
      <c r="Q41" s="4">
        <f t="shared" si="7"/>
        <v>34224</v>
      </c>
    </row>
    <row r="42" spans="1:17" x14ac:dyDescent="0.3">
      <c r="A42" s="4">
        <v>37</v>
      </c>
      <c r="B42" s="5" t="s">
        <v>56</v>
      </c>
      <c r="C42" s="5">
        <v>9783315479</v>
      </c>
      <c r="D42" s="5" t="s">
        <v>51</v>
      </c>
      <c r="E42" s="6">
        <v>44718</v>
      </c>
      <c r="F42" s="4" t="s">
        <v>12</v>
      </c>
      <c r="G42" s="6">
        <v>44728</v>
      </c>
      <c r="H42" s="4">
        <f t="shared" si="0"/>
        <v>10</v>
      </c>
      <c r="I42" s="4" t="s">
        <v>24</v>
      </c>
      <c r="J42" s="4">
        <f t="shared" si="1"/>
        <v>5000</v>
      </c>
      <c r="K42" s="4">
        <f t="shared" si="2"/>
        <v>50000</v>
      </c>
      <c r="L42" s="4">
        <v>2</v>
      </c>
      <c r="M42" s="4">
        <f t="shared" si="3"/>
        <v>800</v>
      </c>
      <c r="N42" s="4">
        <f t="shared" si="4"/>
        <v>50800</v>
      </c>
      <c r="O42" s="4" t="str">
        <f t="shared" si="5"/>
        <v>7%</v>
      </c>
      <c r="P42" s="4">
        <f t="shared" si="6"/>
        <v>3556.0000000000005</v>
      </c>
      <c r="Q42" s="4">
        <f t="shared" si="7"/>
        <v>47244</v>
      </c>
    </row>
    <row r="43" spans="1:17" x14ac:dyDescent="0.3">
      <c r="A43" s="4">
        <v>38</v>
      </c>
      <c r="B43" s="5" t="s">
        <v>57</v>
      </c>
      <c r="C43" s="5">
        <v>7896463158</v>
      </c>
      <c r="D43" s="5" t="s">
        <v>51</v>
      </c>
      <c r="E43" s="6">
        <v>44719</v>
      </c>
      <c r="F43" s="4" t="s">
        <v>128</v>
      </c>
      <c r="G43" s="6">
        <v>44722</v>
      </c>
      <c r="H43" s="4">
        <f t="shared" si="0"/>
        <v>3</v>
      </c>
      <c r="I43" s="4" t="s">
        <v>13</v>
      </c>
      <c r="J43" s="4">
        <f t="shared" si="1"/>
        <v>3000</v>
      </c>
      <c r="K43" s="4">
        <f t="shared" si="2"/>
        <v>9000</v>
      </c>
      <c r="L43" s="4">
        <v>2</v>
      </c>
      <c r="M43" s="4">
        <f t="shared" si="3"/>
        <v>800</v>
      </c>
      <c r="N43" s="4">
        <f t="shared" si="4"/>
        <v>9800</v>
      </c>
      <c r="O43" s="4" t="str">
        <f t="shared" si="5"/>
        <v>3%</v>
      </c>
      <c r="P43" s="4">
        <f t="shared" si="6"/>
        <v>294</v>
      </c>
      <c r="Q43" s="4">
        <f t="shared" si="7"/>
        <v>9506</v>
      </c>
    </row>
    <row r="44" spans="1:17" x14ac:dyDescent="0.3">
      <c r="A44" s="4">
        <v>39</v>
      </c>
      <c r="B44" s="5" t="s">
        <v>58</v>
      </c>
      <c r="C44" s="5">
        <v>8632145792</v>
      </c>
      <c r="D44" s="5" t="s">
        <v>51</v>
      </c>
      <c r="E44" s="6">
        <v>44720</v>
      </c>
      <c r="F44" s="4" t="s">
        <v>19</v>
      </c>
      <c r="G44" s="6">
        <v>44730</v>
      </c>
      <c r="H44" s="4">
        <f t="shared" si="0"/>
        <v>10</v>
      </c>
      <c r="I44" s="4" t="s">
        <v>20</v>
      </c>
      <c r="J44" s="4">
        <f t="shared" si="1"/>
        <v>9000</v>
      </c>
      <c r="K44" s="4">
        <f t="shared" si="2"/>
        <v>90000</v>
      </c>
      <c r="L44" s="4">
        <v>3</v>
      </c>
      <c r="M44" s="4">
        <f t="shared" si="3"/>
        <v>1200</v>
      </c>
      <c r="N44" s="4">
        <f t="shared" si="4"/>
        <v>91200</v>
      </c>
      <c r="O44" s="4" t="str">
        <f t="shared" si="5"/>
        <v>7%</v>
      </c>
      <c r="P44" s="4">
        <f t="shared" si="6"/>
        <v>6384.0000000000009</v>
      </c>
      <c r="Q44" s="4">
        <f t="shared" si="7"/>
        <v>84816</v>
      </c>
    </row>
    <row r="45" spans="1:17" x14ac:dyDescent="0.3">
      <c r="A45" s="4">
        <v>40</v>
      </c>
      <c r="B45" s="5" t="s">
        <v>59</v>
      </c>
      <c r="C45" s="5">
        <v>9874631158</v>
      </c>
      <c r="D45" s="5" t="s">
        <v>51</v>
      </c>
      <c r="E45" s="6">
        <v>44721</v>
      </c>
      <c r="F45" s="4" t="s">
        <v>12</v>
      </c>
      <c r="G45" s="6">
        <v>44731</v>
      </c>
      <c r="H45" s="4">
        <f t="shared" si="0"/>
        <v>10</v>
      </c>
      <c r="I45" s="4" t="s">
        <v>24</v>
      </c>
      <c r="J45" s="4">
        <f t="shared" si="1"/>
        <v>5000</v>
      </c>
      <c r="K45" s="4">
        <f t="shared" si="2"/>
        <v>50000</v>
      </c>
      <c r="L45" s="4">
        <v>3</v>
      </c>
      <c r="M45" s="4">
        <f t="shared" si="3"/>
        <v>1200</v>
      </c>
      <c r="N45" s="4">
        <f t="shared" si="4"/>
        <v>51200</v>
      </c>
      <c r="O45" s="4" t="str">
        <f t="shared" si="5"/>
        <v>7%</v>
      </c>
      <c r="P45" s="4">
        <f t="shared" si="6"/>
        <v>3584.0000000000005</v>
      </c>
      <c r="Q45" s="4">
        <f t="shared" si="7"/>
        <v>47616</v>
      </c>
    </row>
    <row r="46" spans="1:17" x14ac:dyDescent="0.3">
      <c r="A46" s="4">
        <v>41</v>
      </c>
      <c r="B46" s="5" t="s">
        <v>60</v>
      </c>
      <c r="C46" s="5">
        <v>8744863214</v>
      </c>
      <c r="D46" s="5" t="s">
        <v>51</v>
      </c>
      <c r="E46" s="6">
        <v>44722</v>
      </c>
      <c r="F46" s="4" t="s">
        <v>15</v>
      </c>
      <c r="G46" s="6">
        <v>44738</v>
      </c>
      <c r="H46" s="4">
        <f t="shared" si="0"/>
        <v>16</v>
      </c>
      <c r="I46" s="4" t="s">
        <v>13</v>
      </c>
      <c r="J46" s="4">
        <f t="shared" si="1"/>
        <v>3000</v>
      </c>
      <c r="K46" s="4">
        <f t="shared" si="2"/>
        <v>48000</v>
      </c>
      <c r="L46" s="4">
        <v>1</v>
      </c>
      <c r="M46" s="4">
        <f t="shared" si="3"/>
        <v>400</v>
      </c>
      <c r="N46" s="4">
        <f t="shared" si="4"/>
        <v>48400</v>
      </c>
      <c r="O46" s="4" t="str">
        <f t="shared" si="5"/>
        <v>7%</v>
      </c>
      <c r="P46" s="4">
        <f t="shared" si="6"/>
        <v>3388.0000000000005</v>
      </c>
      <c r="Q46" s="4">
        <f t="shared" si="7"/>
        <v>45012</v>
      </c>
    </row>
    <row r="47" spans="1:17" x14ac:dyDescent="0.3">
      <c r="A47" s="4">
        <v>42</v>
      </c>
      <c r="B47" s="5" t="s">
        <v>61</v>
      </c>
      <c r="C47" s="5">
        <v>7789654123</v>
      </c>
      <c r="D47" s="5" t="s">
        <v>51</v>
      </c>
      <c r="E47" s="6">
        <v>44723</v>
      </c>
      <c r="F47" s="4" t="s">
        <v>12</v>
      </c>
      <c r="G47" s="6">
        <v>44727</v>
      </c>
      <c r="H47" s="4">
        <f t="shared" si="0"/>
        <v>4</v>
      </c>
      <c r="I47" s="4" t="s">
        <v>13</v>
      </c>
      <c r="J47" s="4">
        <f t="shared" si="1"/>
        <v>3000</v>
      </c>
      <c r="K47" s="4">
        <f t="shared" si="2"/>
        <v>12000</v>
      </c>
      <c r="L47" s="4">
        <v>3</v>
      </c>
      <c r="M47" s="4">
        <f t="shared" si="3"/>
        <v>1200</v>
      </c>
      <c r="N47" s="4">
        <f t="shared" si="4"/>
        <v>13200</v>
      </c>
      <c r="O47" s="4" t="str">
        <f t="shared" si="5"/>
        <v>5%</v>
      </c>
      <c r="P47" s="4">
        <f t="shared" si="6"/>
        <v>660</v>
      </c>
      <c r="Q47" s="4">
        <f t="shared" si="7"/>
        <v>12540</v>
      </c>
    </row>
    <row r="48" spans="1:17" x14ac:dyDescent="0.3">
      <c r="A48" s="4">
        <v>43</v>
      </c>
      <c r="B48" s="5" t="s">
        <v>62</v>
      </c>
      <c r="C48" s="5">
        <v>8944512365</v>
      </c>
      <c r="D48" s="5" t="s">
        <v>51</v>
      </c>
      <c r="E48" s="6">
        <v>44724</v>
      </c>
      <c r="F48" s="4" t="s">
        <v>128</v>
      </c>
      <c r="G48" s="6">
        <v>44739</v>
      </c>
      <c r="H48" s="4">
        <f t="shared" si="0"/>
        <v>15</v>
      </c>
      <c r="I48" s="4" t="s">
        <v>24</v>
      </c>
      <c r="J48" s="4">
        <f t="shared" si="1"/>
        <v>5000</v>
      </c>
      <c r="K48" s="4">
        <f t="shared" si="2"/>
        <v>75000</v>
      </c>
      <c r="L48" s="4">
        <v>3</v>
      </c>
      <c r="M48" s="4">
        <f t="shared" si="3"/>
        <v>1200</v>
      </c>
      <c r="N48" s="4">
        <f t="shared" si="4"/>
        <v>76200</v>
      </c>
      <c r="O48" s="4" t="str">
        <f t="shared" si="5"/>
        <v>7%</v>
      </c>
      <c r="P48" s="4">
        <f t="shared" si="6"/>
        <v>5334.0000000000009</v>
      </c>
      <c r="Q48" s="4">
        <f t="shared" si="7"/>
        <v>70866</v>
      </c>
    </row>
    <row r="49" spans="1:17" x14ac:dyDescent="0.3">
      <c r="A49" s="4">
        <v>44</v>
      </c>
      <c r="B49" s="5" t="s">
        <v>63</v>
      </c>
      <c r="C49" s="5">
        <v>7895163142</v>
      </c>
      <c r="D49" s="5" t="s">
        <v>51</v>
      </c>
      <c r="E49" s="6">
        <v>44725</v>
      </c>
      <c r="F49" s="4" t="s">
        <v>17</v>
      </c>
      <c r="G49" s="6">
        <v>44742</v>
      </c>
      <c r="H49" s="4">
        <f t="shared" si="0"/>
        <v>17</v>
      </c>
      <c r="I49" s="4" t="s">
        <v>13</v>
      </c>
      <c r="J49" s="4">
        <f t="shared" si="1"/>
        <v>3000</v>
      </c>
      <c r="K49" s="4">
        <f t="shared" si="2"/>
        <v>51000</v>
      </c>
      <c r="L49" s="4">
        <v>5</v>
      </c>
      <c r="M49" s="4">
        <f t="shared" si="3"/>
        <v>2000</v>
      </c>
      <c r="N49" s="4">
        <f t="shared" si="4"/>
        <v>53000</v>
      </c>
      <c r="O49" s="4" t="str">
        <f t="shared" si="5"/>
        <v>7%</v>
      </c>
      <c r="P49" s="4">
        <f t="shared" si="6"/>
        <v>3710.0000000000005</v>
      </c>
      <c r="Q49" s="4">
        <f t="shared" si="7"/>
        <v>49290</v>
      </c>
    </row>
    <row r="50" spans="1:17" x14ac:dyDescent="0.3">
      <c r="A50" s="4">
        <v>45</v>
      </c>
      <c r="B50" s="5" t="s">
        <v>64</v>
      </c>
      <c r="C50" s="5">
        <v>9865321475</v>
      </c>
      <c r="D50" s="5" t="s">
        <v>51</v>
      </c>
      <c r="E50" s="6">
        <v>44726</v>
      </c>
      <c r="F50" s="4" t="s">
        <v>129</v>
      </c>
      <c r="G50" s="6">
        <v>44736</v>
      </c>
      <c r="H50" s="4">
        <f t="shared" si="0"/>
        <v>10</v>
      </c>
      <c r="I50" s="4" t="s">
        <v>20</v>
      </c>
      <c r="J50" s="4">
        <f t="shared" si="1"/>
        <v>9000</v>
      </c>
      <c r="K50" s="4">
        <f t="shared" si="2"/>
        <v>90000</v>
      </c>
      <c r="L50" s="4">
        <v>2</v>
      </c>
      <c r="M50" s="4">
        <f t="shared" si="3"/>
        <v>800</v>
      </c>
      <c r="N50" s="4">
        <f t="shared" si="4"/>
        <v>90800</v>
      </c>
      <c r="O50" s="4" t="str">
        <f t="shared" si="5"/>
        <v>7%</v>
      </c>
      <c r="P50" s="4">
        <f t="shared" si="6"/>
        <v>6356.0000000000009</v>
      </c>
      <c r="Q50" s="4">
        <f t="shared" si="7"/>
        <v>84444</v>
      </c>
    </row>
    <row r="51" spans="1:17" x14ac:dyDescent="0.3">
      <c r="A51" s="4">
        <v>46</v>
      </c>
      <c r="B51" s="5" t="s">
        <v>65</v>
      </c>
      <c r="C51" s="5">
        <v>9865423123</v>
      </c>
      <c r="D51" s="5" t="s">
        <v>51</v>
      </c>
      <c r="E51" s="6">
        <v>44727</v>
      </c>
      <c r="F51" s="4" t="s">
        <v>17</v>
      </c>
      <c r="G51" s="6">
        <v>44732</v>
      </c>
      <c r="H51" s="4">
        <f t="shared" si="0"/>
        <v>5</v>
      </c>
      <c r="I51" s="4" t="s">
        <v>13</v>
      </c>
      <c r="J51" s="4">
        <f t="shared" si="1"/>
        <v>3000</v>
      </c>
      <c r="K51" s="4">
        <f t="shared" si="2"/>
        <v>15000</v>
      </c>
      <c r="L51" s="4">
        <v>3</v>
      </c>
      <c r="M51" s="4">
        <f t="shared" si="3"/>
        <v>1200</v>
      </c>
      <c r="N51" s="4">
        <f t="shared" si="4"/>
        <v>16200</v>
      </c>
      <c r="O51" s="4" t="str">
        <f t="shared" si="5"/>
        <v>7%</v>
      </c>
      <c r="P51" s="4">
        <f t="shared" si="6"/>
        <v>1134</v>
      </c>
      <c r="Q51" s="4">
        <f t="shared" si="7"/>
        <v>15066</v>
      </c>
    </row>
    <row r="52" spans="1:17" x14ac:dyDescent="0.3">
      <c r="A52" s="4">
        <v>47</v>
      </c>
      <c r="B52" s="5" t="s">
        <v>66</v>
      </c>
      <c r="C52" s="5">
        <v>8999629876</v>
      </c>
      <c r="D52" s="5" t="s">
        <v>51</v>
      </c>
      <c r="E52" s="6">
        <v>44728</v>
      </c>
      <c r="F52" s="4" t="s">
        <v>22</v>
      </c>
      <c r="G52" s="6">
        <v>44738</v>
      </c>
      <c r="H52" s="4">
        <f t="shared" si="0"/>
        <v>10</v>
      </c>
      <c r="I52" s="4" t="s">
        <v>24</v>
      </c>
      <c r="J52" s="4">
        <f t="shared" si="1"/>
        <v>5000</v>
      </c>
      <c r="K52" s="4">
        <f t="shared" si="2"/>
        <v>50000</v>
      </c>
      <c r="L52" s="4">
        <v>2</v>
      </c>
      <c r="M52" s="4">
        <f t="shared" si="3"/>
        <v>800</v>
      </c>
      <c r="N52" s="4">
        <f t="shared" si="4"/>
        <v>50800</v>
      </c>
      <c r="O52" s="4" t="str">
        <f t="shared" si="5"/>
        <v>7%</v>
      </c>
      <c r="P52" s="4">
        <f t="shared" si="6"/>
        <v>3556.0000000000005</v>
      </c>
      <c r="Q52" s="4">
        <f t="shared" si="7"/>
        <v>47244</v>
      </c>
    </row>
    <row r="53" spans="1:17" x14ac:dyDescent="0.3">
      <c r="A53" s="4">
        <v>48</v>
      </c>
      <c r="B53" s="5" t="s">
        <v>67</v>
      </c>
      <c r="C53" s="5">
        <v>9890519851</v>
      </c>
      <c r="D53" s="5" t="s">
        <v>51</v>
      </c>
      <c r="E53" s="6">
        <v>44729</v>
      </c>
      <c r="F53" s="4" t="s">
        <v>128</v>
      </c>
      <c r="G53" s="6">
        <v>44734</v>
      </c>
      <c r="H53" s="4">
        <f t="shared" si="0"/>
        <v>5</v>
      </c>
      <c r="I53" s="4" t="s">
        <v>13</v>
      </c>
      <c r="J53" s="4">
        <f t="shared" si="1"/>
        <v>3000</v>
      </c>
      <c r="K53" s="4">
        <f t="shared" si="2"/>
        <v>15000</v>
      </c>
      <c r="L53" s="4">
        <v>3</v>
      </c>
      <c r="M53" s="4">
        <f t="shared" si="3"/>
        <v>1200</v>
      </c>
      <c r="N53" s="4">
        <f t="shared" si="4"/>
        <v>16200</v>
      </c>
      <c r="O53" s="4" t="str">
        <f t="shared" si="5"/>
        <v>7%</v>
      </c>
      <c r="P53" s="4">
        <f t="shared" si="6"/>
        <v>1134</v>
      </c>
      <c r="Q53" s="4">
        <f t="shared" si="7"/>
        <v>15066</v>
      </c>
    </row>
    <row r="54" spans="1:17" x14ac:dyDescent="0.3">
      <c r="A54" s="4">
        <v>49</v>
      </c>
      <c r="B54" s="5" t="s">
        <v>68</v>
      </c>
      <c r="C54" s="5">
        <v>9552801079</v>
      </c>
      <c r="D54" s="5" t="s">
        <v>51</v>
      </c>
      <c r="E54" s="6">
        <v>44730</v>
      </c>
      <c r="F54" s="4" t="s">
        <v>19</v>
      </c>
      <c r="G54" s="6">
        <v>44732</v>
      </c>
      <c r="H54" s="4">
        <f t="shared" si="0"/>
        <v>2</v>
      </c>
      <c r="I54" s="4" t="s">
        <v>13</v>
      </c>
      <c r="J54" s="4">
        <f t="shared" si="1"/>
        <v>3000</v>
      </c>
      <c r="K54" s="4">
        <f t="shared" si="2"/>
        <v>6000</v>
      </c>
      <c r="L54" s="4">
        <v>1</v>
      </c>
      <c r="M54" s="4">
        <f t="shared" si="3"/>
        <v>400</v>
      </c>
      <c r="N54" s="4">
        <f t="shared" si="4"/>
        <v>6400</v>
      </c>
      <c r="O54" s="4" t="str">
        <f t="shared" si="5"/>
        <v>3%</v>
      </c>
      <c r="P54" s="4">
        <f t="shared" si="6"/>
        <v>192</v>
      </c>
      <c r="Q54" s="4">
        <f>K54+M54-P54</f>
        <v>6208</v>
      </c>
    </row>
    <row r="55" spans="1:17" x14ac:dyDescent="0.3">
      <c r="A55" s="4">
        <v>50</v>
      </c>
      <c r="B55" s="5" t="s">
        <v>69</v>
      </c>
      <c r="C55" s="5">
        <v>9359381377</v>
      </c>
      <c r="D55" s="5" t="s">
        <v>51</v>
      </c>
      <c r="E55" s="6">
        <v>44731</v>
      </c>
      <c r="F55" s="4" t="s">
        <v>12</v>
      </c>
      <c r="G55" s="6">
        <v>44741</v>
      </c>
      <c r="H55" s="4">
        <f t="shared" si="0"/>
        <v>10</v>
      </c>
      <c r="I55" s="4" t="s">
        <v>13</v>
      </c>
      <c r="J55" s="4">
        <f t="shared" si="1"/>
        <v>3000</v>
      </c>
      <c r="K55" s="4">
        <f t="shared" si="2"/>
        <v>30000</v>
      </c>
      <c r="L55" s="4">
        <v>2</v>
      </c>
      <c r="M55" s="4">
        <f t="shared" si="3"/>
        <v>800</v>
      </c>
      <c r="N55" s="4">
        <f t="shared" si="4"/>
        <v>30800</v>
      </c>
      <c r="O55" s="4" t="str">
        <f t="shared" si="5"/>
        <v>7%</v>
      </c>
      <c r="P55" s="4">
        <f t="shared" si="6"/>
        <v>2156</v>
      </c>
      <c r="Q55" s="4">
        <f t="shared" si="7"/>
        <v>28644</v>
      </c>
    </row>
    <row r="56" spans="1:17" x14ac:dyDescent="0.3">
      <c r="A56" s="4">
        <v>51</v>
      </c>
      <c r="B56" s="5" t="s">
        <v>70</v>
      </c>
      <c r="C56" s="4">
        <v>8600687453</v>
      </c>
      <c r="D56" s="4" t="s">
        <v>51</v>
      </c>
      <c r="E56" s="6">
        <v>44732</v>
      </c>
      <c r="F56" s="4" t="s">
        <v>15</v>
      </c>
      <c r="G56" s="6">
        <v>44733</v>
      </c>
      <c r="H56" s="4">
        <f t="shared" si="0"/>
        <v>1</v>
      </c>
      <c r="I56" s="4" t="s">
        <v>24</v>
      </c>
      <c r="J56" s="4">
        <f t="shared" si="1"/>
        <v>5000</v>
      </c>
      <c r="K56" s="4">
        <f t="shared" si="2"/>
        <v>5000</v>
      </c>
      <c r="L56" s="4">
        <v>2</v>
      </c>
      <c r="M56" s="4">
        <f t="shared" si="3"/>
        <v>800</v>
      </c>
      <c r="N56" s="4">
        <f t="shared" si="4"/>
        <v>5800</v>
      </c>
      <c r="O56" s="4" t="str">
        <f t="shared" si="5"/>
        <v>3%</v>
      </c>
      <c r="P56" s="4">
        <f t="shared" si="6"/>
        <v>174</v>
      </c>
      <c r="Q56" s="4">
        <f t="shared" si="7"/>
        <v>5626</v>
      </c>
    </row>
    <row r="57" spans="1:17" x14ac:dyDescent="0.3">
      <c r="A57" s="4">
        <v>52</v>
      </c>
      <c r="B57" s="5" t="s">
        <v>71</v>
      </c>
      <c r="C57" s="4">
        <v>9960663393</v>
      </c>
      <c r="D57" s="4" t="s">
        <v>51</v>
      </c>
      <c r="E57" s="6">
        <v>44733</v>
      </c>
      <c r="F57" s="4" t="s">
        <v>12</v>
      </c>
      <c r="G57" s="6">
        <v>44743</v>
      </c>
      <c r="H57" s="4">
        <f t="shared" si="0"/>
        <v>10</v>
      </c>
      <c r="I57" s="4" t="s">
        <v>24</v>
      </c>
      <c r="J57" s="4">
        <f t="shared" si="1"/>
        <v>5000</v>
      </c>
      <c r="K57" s="4">
        <f t="shared" si="2"/>
        <v>50000</v>
      </c>
      <c r="L57" s="4">
        <v>1</v>
      </c>
      <c r="M57" s="4">
        <f t="shared" si="3"/>
        <v>400</v>
      </c>
      <c r="N57" s="4">
        <f t="shared" si="4"/>
        <v>50400</v>
      </c>
      <c r="O57" s="4" t="str">
        <f t="shared" si="5"/>
        <v>7%</v>
      </c>
      <c r="P57" s="4">
        <f t="shared" si="6"/>
        <v>3528.0000000000005</v>
      </c>
      <c r="Q57" s="4">
        <f t="shared" si="7"/>
        <v>46872</v>
      </c>
    </row>
    <row r="58" spans="1:17" x14ac:dyDescent="0.3">
      <c r="A58" s="4">
        <v>53</v>
      </c>
      <c r="B58" s="5" t="s">
        <v>72</v>
      </c>
      <c r="C58" s="5">
        <v>8767597134</v>
      </c>
      <c r="D58" s="5" t="s">
        <v>51</v>
      </c>
      <c r="E58" s="6">
        <v>44734</v>
      </c>
      <c r="F58" s="4" t="s">
        <v>15</v>
      </c>
      <c r="G58" s="6">
        <v>44757</v>
      </c>
      <c r="H58" s="4">
        <f t="shared" si="0"/>
        <v>23</v>
      </c>
      <c r="I58" s="4" t="s">
        <v>13</v>
      </c>
      <c r="J58" s="4">
        <f t="shared" si="1"/>
        <v>3000</v>
      </c>
      <c r="K58" s="4">
        <f t="shared" si="2"/>
        <v>69000</v>
      </c>
      <c r="L58" s="4">
        <v>2</v>
      </c>
      <c r="M58" s="4">
        <f t="shared" si="3"/>
        <v>800</v>
      </c>
      <c r="N58" s="4">
        <f t="shared" si="4"/>
        <v>69800</v>
      </c>
      <c r="O58" s="4" t="str">
        <f t="shared" si="5"/>
        <v>7%</v>
      </c>
      <c r="P58" s="4">
        <f t="shared" si="6"/>
        <v>4886.0000000000009</v>
      </c>
      <c r="Q58" s="4">
        <f t="shared" si="7"/>
        <v>64914</v>
      </c>
    </row>
    <row r="59" spans="1:17" x14ac:dyDescent="0.3">
      <c r="A59" s="4">
        <v>54</v>
      </c>
      <c r="B59" s="5" t="s">
        <v>73</v>
      </c>
      <c r="C59" s="5">
        <v>9921003881</v>
      </c>
      <c r="D59" s="5" t="s">
        <v>51</v>
      </c>
      <c r="E59" s="6">
        <v>44735</v>
      </c>
      <c r="F59" s="4" t="s">
        <v>17</v>
      </c>
      <c r="G59" s="6">
        <v>44745</v>
      </c>
      <c r="H59" s="4">
        <f t="shared" si="0"/>
        <v>10</v>
      </c>
      <c r="I59" s="4" t="s">
        <v>24</v>
      </c>
      <c r="J59" s="4">
        <f t="shared" si="1"/>
        <v>5000</v>
      </c>
      <c r="K59" s="4">
        <f t="shared" si="2"/>
        <v>50000</v>
      </c>
      <c r="L59" s="4">
        <v>2</v>
      </c>
      <c r="M59" s="4">
        <f t="shared" si="3"/>
        <v>800</v>
      </c>
      <c r="N59" s="4">
        <f t="shared" si="4"/>
        <v>50800</v>
      </c>
      <c r="O59" s="4" t="str">
        <f t="shared" si="5"/>
        <v>7%</v>
      </c>
      <c r="P59" s="4">
        <f t="shared" si="6"/>
        <v>3556.0000000000005</v>
      </c>
      <c r="Q59" s="4">
        <f t="shared" si="7"/>
        <v>47244</v>
      </c>
    </row>
    <row r="60" spans="1:17" x14ac:dyDescent="0.3">
      <c r="A60" s="4">
        <v>55</v>
      </c>
      <c r="B60" s="5" t="s">
        <v>74</v>
      </c>
      <c r="C60" s="5">
        <v>8659324716</v>
      </c>
      <c r="D60" s="5" t="s">
        <v>51</v>
      </c>
      <c r="E60" s="6">
        <v>44736</v>
      </c>
      <c r="F60" s="4" t="s">
        <v>19</v>
      </c>
      <c r="G60" s="6">
        <v>44746</v>
      </c>
      <c r="H60" s="4">
        <f t="shared" si="0"/>
        <v>10</v>
      </c>
      <c r="I60" s="4" t="s">
        <v>13</v>
      </c>
      <c r="J60" s="4">
        <f t="shared" si="1"/>
        <v>3000</v>
      </c>
      <c r="K60" s="4">
        <f t="shared" si="2"/>
        <v>30000</v>
      </c>
      <c r="L60" s="4">
        <v>2</v>
      </c>
      <c r="M60" s="4">
        <f t="shared" si="3"/>
        <v>800</v>
      </c>
      <c r="N60" s="4">
        <f t="shared" si="4"/>
        <v>30800</v>
      </c>
      <c r="O60" s="4" t="str">
        <f t="shared" si="5"/>
        <v>7%</v>
      </c>
      <c r="P60" s="4">
        <f t="shared" si="6"/>
        <v>2156</v>
      </c>
      <c r="Q60" s="4">
        <f t="shared" si="7"/>
        <v>28644</v>
      </c>
    </row>
    <row r="61" spans="1:17" x14ac:dyDescent="0.3">
      <c r="A61" s="4">
        <v>56</v>
      </c>
      <c r="B61" s="5" t="s">
        <v>75</v>
      </c>
      <c r="C61" s="5">
        <v>9505971235</v>
      </c>
      <c r="D61" s="5" t="s">
        <v>51</v>
      </c>
      <c r="E61" s="6">
        <v>44737</v>
      </c>
      <c r="F61" s="4" t="s">
        <v>22</v>
      </c>
      <c r="G61" s="6">
        <v>44747</v>
      </c>
      <c r="H61" s="4">
        <f t="shared" si="0"/>
        <v>10</v>
      </c>
      <c r="I61" s="4" t="s">
        <v>13</v>
      </c>
      <c r="J61" s="4">
        <f t="shared" si="1"/>
        <v>3000</v>
      </c>
      <c r="K61" s="4">
        <f t="shared" si="2"/>
        <v>30000</v>
      </c>
      <c r="L61" s="4">
        <v>4</v>
      </c>
      <c r="M61" s="4">
        <f t="shared" si="3"/>
        <v>1600</v>
      </c>
      <c r="N61" s="4">
        <f t="shared" si="4"/>
        <v>31600</v>
      </c>
      <c r="O61" s="4" t="str">
        <f t="shared" si="5"/>
        <v>7%</v>
      </c>
      <c r="P61" s="4">
        <f t="shared" si="6"/>
        <v>2212</v>
      </c>
      <c r="Q61" s="4">
        <f t="shared" si="7"/>
        <v>29388</v>
      </c>
    </row>
    <row r="62" spans="1:17" x14ac:dyDescent="0.3">
      <c r="A62" s="4">
        <v>57</v>
      </c>
      <c r="B62" s="5" t="s">
        <v>76</v>
      </c>
      <c r="C62" s="5">
        <v>9923703614</v>
      </c>
      <c r="D62" s="5" t="s">
        <v>51</v>
      </c>
      <c r="E62" s="6">
        <v>44738</v>
      </c>
      <c r="F62" s="4" t="s">
        <v>17</v>
      </c>
      <c r="G62" s="6">
        <v>44746</v>
      </c>
      <c r="H62" s="4">
        <f t="shared" si="0"/>
        <v>8</v>
      </c>
      <c r="I62" s="4" t="s">
        <v>24</v>
      </c>
      <c r="J62" s="4">
        <f t="shared" si="1"/>
        <v>5000</v>
      </c>
      <c r="K62" s="4">
        <f t="shared" si="2"/>
        <v>40000</v>
      </c>
      <c r="L62" s="4">
        <v>3</v>
      </c>
      <c r="M62" s="4">
        <f t="shared" si="3"/>
        <v>1200</v>
      </c>
      <c r="N62" s="4">
        <f t="shared" si="4"/>
        <v>41200</v>
      </c>
      <c r="O62" s="4" t="str">
        <f t="shared" si="5"/>
        <v>7%</v>
      </c>
      <c r="P62" s="4">
        <f t="shared" si="6"/>
        <v>2884.0000000000005</v>
      </c>
      <c r="Q62" s="4">
        <f t="shared" si="7"/>
        <v>38316</v>
      </c>
    </row>
    <row r="63" spans="1:17" x14ac:dyDescent="0.3">
      <c r="A63" s="4">
        <v>58</v>
      </c>
      <c r="B63" s="5" t="s">
        <v>77</v>
      </c>
      <c r="C63" s="5">
        <v>9284136886</v>
      </c>
      <c r="D63" s="5" t="s">
        <v>51</v>
      </c>
      <c r="E63" s="6">
        <v>44739</v>
      </c>
      <c r="F63" s="4" t="s">
        <v>12</v>
      </c>
      <c r="G63" s="6">
        <v>44749</v>
      </c>
      <c r="H63" s="4">
        <f t="shared" si="0"/>
        <v>10</v>
      </c>
      <c r="I63" s="4" t="s">
        <v>20</v>
      </c>
      <c r="J63" s="4">
        <f t="shared" si="1"/>
        <v>9000</v>
      </c>
      <c r="K63" s="4">
        <f t="shared" si="2"/>
        <v>90000</v>
      </c>
      <c r="L63" s="4">
        <v>2</v>
      </c>
      <c r="M63" s="4">
        <f t="shared" si="3"/>
        <v>800</v>
      </c>
      <c r="N63" s="4">
        <f t="shared" si="4"/>
        <v>90800</v>
      </c>
      <c r="O63" s="4" t="str">
        <f t="shared" si="5"/>
        <v>7%</v>
      </c>
      <c r="P63" s="4">
        <f t="shared" si="6"/>
        <v>6356.0000000000009</v>
      </c>
      <c r="Q63" s="4">
        <f t="shared" si="7"/>
        <v>84444</v>
      </c>
    </row>
    <row r="64" spans="1:17" x14ac:dyDescent="0.3">
      <c r="A64" s="4">
        <v>59</v>
      </c>
      <c r="B64" s="5" t="s">
        <v>78</v>
      </c>
      <c r="C64" s="4">
        <v>8546971235</v>
      </c>
      <c r="D64" s="4" t="s">
        <v>51</v>
      </c>
      <c r="E64" s="6">
        <v>44740</v>
      </c>
      <c r="F64" s="4" t="s">
        <v>22</v>
      </c>
      <c r="G64" s="6">
        <v>44743</v>
      </c>
      <c r="H64" s="4">
        <f t="shared" si="0"/>
        <v>3</v>
      </c>
      <c r="I64" s="4" t="s">
        <v>13</v>
      </c>
      <c r="J64" s="4">
        <f t="shared" si="1"/>
        <v>3000</v>
      </c>
      <c r="K64" s="4">
        <f t="shared" si="2"/>
        <v>9000</v>
      </c>
      <c r="L64" s="4">
        <v>1</v>
      </c>
      <c r="M64" s="4">
        <f t="shared" si="3"/>
        <v>400</v>
      </c>
      <c r="N64" s="4">
        <f t="shared" si="4"/>
        <v>9400</v>
      </c>
      <c r="O64" s="4" t="str">
        <f t="shared" si="5"/>
        <v>3%</v>
      </c>
      <c r="P64" s="4">
        <f t="shared" si="6"/>
        <v>282</v>
      </c>
      <c r="Q64" s="4">
        <f t="shared" si="7"/>
        <v>9118</v>
      </c>
    </row>
    <row r="65" spans="1:17" x14ac:dyDescent="0.3">
      <c r="A65" s="4">
        <v>60</v>
      </c>
      <c r="B65" s="5" t="s">
        <v>79</v>
      </c>
      <c r="C65" s="4">
        <v>7896541235</v>
      </c>
      <c r="D65" s="4" t="s">
        <v>51</v>
      </c>
      <c r="E65" s="6">
        <v>44741</v>
      </c>
      <c r="F65" s="4" t="s">
        <v>22</v>
      </c>
      <c r="G65" s="6">
        <v>44744</v>
      </c>
      <c r="H65" s="4">
        <f t="shared" si="0"/>
        <v>3</v>
      </c>
      <c r="I65" s="4" t="s">
        <v>20</v>
      </c>
      <c r="J65" s="4">
        <f t="shared" si="1"/>
        <v>9000</v>
      </c>
      <c r="K65" s="4">
        <f t="shared" si="2"/>
        <v>27000</v>
      </c>
      <c r="L65" s="4">
        <v>2</v>
      </c>
      <c r="M65" s="4">
        <f t="shared" si="3"/>
        <v>800</v>
      </c>
      <c r="N65" s="4">
        <f t="shared" si="4"/>
        <v>27800</v>
      </c>
      <c r="O65" s="4" t="str">
        <f t="shared" si="5"/>
        <v>7%</v>
      </c>
      <c r="P65" s="4">
        <f t="shared" si="6"/>
        <v>1946.0000000000002</v>
      </c>
      <c r="Q65" s="4">
        <f t="shared" si="7"/>
        <v>25854</v>
      </c>
    </row>
    <row r="66" spans="1:17" x14ac:dyDescent="0.3">
      <c r="A66" s="4">
        <v>61</v>
      </c>
      <c r="B66" s="5" t="s">
        <v>80</v>
      </c>
      <c r="C66" s="4">
        <v>6531489762</v>
      </c>
      <c r="D66" s="4" t="s">
        <v>51</v>
      </c>
      <c r="E66" s="6">
        <v>44742</v>
      </c>
      <c r="F66" s="4" t="s">
        <v>22</v>
      </c>
      <c r="G66" s="6">
        <v>44752</v>
      </c>
      <c r="H66" s="4">
        <f t="shared" si="0"/>
        <v>10</v>
      </c>
      <c r="I66" s="4" t="s">
        <v>13</v>
      </c>
      <c r="J66" s="4">
        <f t="shared" si="1"/>
        <v>3000</v>
      </c>
      <c r="K66" s="4">
        <f t="shared" si="2"/>
        <v>30000</v>
      </c>
      <c r="L66" s="4">
        <v>2</v>
      </c>
      <c r="M66" s="4">
        <f t="shared" si="3"/>
        <v>800</v>
      </c>
      <c r="N66" s="4">
        <f t="shared" si="4"/>
        <v>30800</v>
      </c>
      <c r="O66" s="4" t="str">
        <f t="shared" si="5"/>
        <v>7%</v>
      </c>
      <c r="P66" s="4">
        <f t="shared" si="6"/>
        <v>2156</v>
      </c>
      <c r="Q66" s="4">
        <f t="shared" si="7"/>
        <v>28644</v>
      </c>
    </row>
    <row r="67" spans="1:17" x14ac:dyDescent="0.3">
      <c r="A67" s="4">
        <v>62</v>
      </c>
      <c r="B67" s="5" t="s">
        <v>81</v>
      </c>
      <c r="C67" s="4">
        <v>7896485123</v>
      </c>
      <c r="D67" s="4" t="s">
        <v>82</v>
      </c>
      <c r="E67" s="6">
        <v>44743</v>
      </c>
      <c r="F67" s="4" t="s">
        <v>12</v>
      </c>
      <c r="G67" s="6">
        <v>44747</v>
      </c>
      <c r="H67" s="4">
        <f t="shared" si="0"/>
        <v>4</v>
      </c>
      <c r="I67" s="4" t="s">
        <v>24</v>
      </c>
      <c r="J67" s="4">
        <f t="shared" si="1"/>
        <v>5000</v>
      </c>
      <c r="K67" s="4">
        <f t="shared" si="2"/>
        <v>20000</v>
      </c>
      <c r="L67" s="4">
        <v>1</v>
      </c>
      <c r="M67" s="4">
        <f t="shared" si="3"/>
        <v>400</v>
      </c>
      <c r="N67" s="4">
        <f t="shared" si="4"/>
        <v>20400</v>
      </c>
      <c r="O67" s="4" t="str">
        <f t="shared" si="5"/>
        <v>7%</v>
      </c>
      <c r="P67" s="4">
        <f t="shared" si="6"/>
        <v>1428.0000000000002</v>
      </c>
      <c r="Q67" s="4">
        <f t="shared" si="7"/>
        <v>18972</v>
      </c>
    </row>
    <row r="68" spans="1:17" x14ac:dyDescent="0.3">
      <c r="A68" s="4">
        <v>63</v>
      </c>
      <c r="B68" s="5" t="s">
        <v>83</v>
      </c>
      <c r="C68" s="4">
        <v>9867451239</v>
      </c>
      <c r="D68" s="4" t="s">
        <v>82</v>
      </c>
      <c r="E68" s="6">
        <v>44744</v>
      </c>
      <c r="F68" s="4" t="s">
        <v>22</v>
      </c>
      <c r="G68" s="6">
        <v>44754</v>
      </c>
      <c r="H68" s="4">
        <f t="shared" si="0"/>
        <v>10</v>
      </c>
      <c r="I68" s="4" t="s">
        <v>13</v>
      </c>
      <c r="J68" s="4">
        <f t="shared" si="1"/>
        <v>3000</v>
      </c>
      <c r="K68" s="4">
        <f t="shared" si="2"/>
        <v>30000</v>
      </c>
      <c r="L68" s="4">
        <v>2</v>
      </c>
      <c r="M68" s="4">
        <f t="shared" si="3"/>
        <v>800</v>
      </c>
      <c r="N68" s="4">
        <f t="shared" si="4"/>
        <v>30800</v>
      </c>
      <c r="O68" s="4" t="str">
        <f t="shared" si="5"/>
        <v>7%</v>
      </c>
      <c r="P68" s="4">
        <f t="shared" si="6"/>
        <v>2156</v>
      </c>
      <c r="Q68" s="4">
        <f t="shared" si="7"/>
        <v>28644</v>
      </c>
    </row>
    <row r="69" spans="1:17" x14ac:dyDescent="0.3">
      <c r="A69" s="4">
        <v>64</v>
      </c>
      <c r="B69" s="5" t="s">
        <v>84</v>
      </c>
      <c r="C69" s="4">
        <v>9874563152</v>
      </c>
      <c r="D69" s="4" t="s">
        <v>82</v>
      </c>
      <c r="E69" s="6">
        <v>44745</v>
      </c>
      <c r="F69" s="4" t="s">
        <v>128</v>
      </c>
      <c r="G69" s="6">
        <v>44752</v>
      </c>
      <c r="H69" s="4">
        <f t="shared" si="0"/>
        <v>7</v>
      </c>
      <c r="I69" s="4" t="s">
        <v>13</v>
      </c>
      <c r="J69" s="4">
        <f t="shared" si="1"/>
        <v>3000</v>
      </c>
      <c r="K69" s="4">
        <f t="shared" si="2"/>
        <v>21000</v>
      </c>
      <c r="L69" s="4">
        <v>3</v>
      </c>
      <c r="M69" s="4">
        <f t="shared" si="3"/>
        <v>1200</v>
      </c>
      <c r="N69" s="4">
        <f t="shared" si="4"/>
        <v>22200</v>
      </c>
      <c r="O69" s="4" t="str">
        <f t="shared" si="5"/>
        <v>7%</v>
      </c>
      <c r="P69" s="4">
        <f t="shared" si="6"/>
        <v>1554.0000000000002</v>
      </c>
      <c r="Q69" s="4">
        <f t="shared" si="7"/>
        <v>20646</v>
      </c>
    </row>
    <row r="70" spans="1:17" x14ac:dyDescent="0.3">
      <c r="A70" s="4">
        <v>65</v>
      </c>
      <c r="B70" s="5" t="s">
        <v>85</v>
      </c>
      <c r="C70" s="4">
        <v>9874563218</v>
      </c>
      <c r="D70" s="4" t="s">
        <v>82</v>
      </c>
      <c r="E70" s="6">
        <v>44746</v>
      </c>
      <c r="F70" s="4" t="s">
        <v>128</v>
      </c>
      <c r="G70" s="6">
        <v>44752</v>
      </c>
      <c r="H70" s="4">
        <f t="shared" si="0"/>
        <v>6</v>
      </c>
      <c r="I70" s="4" t="s">
        <v>24</v>
      </c>
      <c r="J70" s="4">
        <f t="shared" si="1"/>
        <v>5000</v>
      </c>
      <c r="K70" s="4">
        <f t="shared" si="2"/>
        <v>30000</v>
      </c>
      <c r="L70" s="4">
        <v>3</v>
      </c>
      <c r="M70" s="4">
        <f t="shared" si="3"/>
        <v>1200</v>
      </c>
      <c r="N70" s="4">
        <f t="shared" si="4"/>
        <v>31200</v>
      </c>
      <c r="O70" s="4" t="str">
        <f t="shared" si="5"/>
        <v>7%</v>
      </c>
      <c r="P70" s="4">
        <f t="shared" si="6"/>
        <v>2184</v>
      </c>
      <c r="Q70" s="4">
        <f t="shared" si="7"/>
        <v>29016</v>
      </c>
    </row>
    <row r="71" spans="1:17" x14ac:dyDescent="0.3">
      <c r="A71" s="4">
        <v>66</v>
      </c>
      <c r="B71" s="5" t="s">
        <v>86</v>
      </c>
      <c r="C71" s="4">
        <v>7896541238</v>
      </c>
      <c r="D71" s="4" t="s">
        <v>82</v>
      </c>
      <c r="E71" s="6">
        <v>44747</v>
      </c>
      <c r="F71" s="4" t="s">
        <v>17</v>
      </c>
      <c r="G71" s="6">
        <v>44757</v>
      </c>
      <c r="H71" s="4">
        <f t="shared" si="0"/>
        <v>10</v>
      </c>
      <c r="I71" s="4" t="s">
        <v>20</v>
      </c>
      <c r="J71" s="4">
        <f t="shared" ref="J71:J87" si="8">IF(I71="Normal",3000,IF(I71="VIP",5000,IF(I71="VVIP",9000,0)))</f>
        <v>9000</v>
      </c>
      <c r="K71" s="4">
        <f t="shared" ref="K71:K97" si="9">IF(H71*J71,H71*J71,0)</f>
        <v>90000</v>
      </c>
      <c r="L71" s="4">
        <v>1</v>
      </c>
      <c r="M71" s="4">
        <f t="shared" ref="M71:M97" si="10">400*L71</f>
        <v>400</v>
      </c>
      <c r="N71" s="4">
        <f t="shared" ref="N71:N97" si="11">K71+M71</f>
        <v>90400</v>
      </c>
      <c r="O71" s="4" t="str">
        <f t="shared" ref="O71:O97" si="12">IF(N71&gt;15000,"7%",IF(N71&gt;10000,"5%",IF(N71&gt;5000,"3%","8%")))</f>
        <v>7%</v>
      </c>
      <c r="P71" s="4">
        <f t="shared" ref="P71:P97" si="13">IF(N71&gt;15000,N71*7%,IF(N71&gt;10000,N71*5%,IF(N71&gt;5000,N71*3%,"8%")))</f>
        <v>6328.0000000000009</v>
      </c>
      <c r="Q71" s="4">
        <f t="shared" ref="Q71:Q97" si="14">K71+M71-P71</f>
        <v>84072</v>
      </c>
    </row>
    <row r="72" spans="1:17" x14ac:dyDescent="0.3">
      <c r="A72" s="4">
        <v>67</v>
      </c>
      <c r="B72" s="5" t="s">
        <v>87</v>
      </c>
      <c r="C72" s="4">
        <v>8965873289</v>
      </c>
      <c r="D72" s="4" t="s">
        <v>82</v>
      </c>
      <c r="E72" s="6">
        <v>44748</v>
      </c>
      <c r="F72" s="4" t="s">
        <v>22</v>
      </c>
      <c r="G72" s="6">
        <v>44758</v>
      </c>
      <c r="H72" s="4">
        <f t="shared" si="0"/>
        <v>10</v>
      </c>
      <c r="I72" s="4" t="s">
        <v>13</v>
      </c>
      <c r="J72" s="4">
        <f t="shared" si="8"/>
        <v>3000</v>
      </c>
      <c r="K72" s="4">
        <f t="shared" si="9"/>
        <v>30000</v>
      </c>
      <c r="L72" s="4">
        <v>2</v>
      </c>
      <c r="M72" s="4">
        <f t="shared" si="10"/>
        <v>800</v>
      </c>
      <c r="N72" s="4">
        <f t="shared" si="11"/>
        <v>30800</v>
      </c>
      <c r="O72" s="4" t="str">
        <f t="shared" si="12"/>
        <v>7%</v>
      </c>
      <c r="P72" s="4">
        <f t="shared" si="13"/>
        <v>2156</v>
      </c>
      <c r="Q72" s="4">
        <f t="shared" si="14"/>
        <v>28644</v>
      </c>
    </row>
    <row r="73" spans="1:17" x14ac:dyDescent="0.3">
      <c r="A73" s="4">
        <v>68</v>
      </c>
      <c r="B73" s="5" t="s">
        <v>88</v>
      </c>
      <c r="C73" s="5">
        <v>9525971235</v>
      </c>
      <c r="D73" s="5" t="s">
        <v>82</v>
      </c>
      <c r="E73" s="6">
        <v>44749</v>
      </c>
      <c r="F73" s="4" t="s">
        <v>17</v>
      </c>
      <c r="G73" s="6">
        <v>44758</v>
      </c>
      <c r="H73" s="4">
        <f t="shared" si="0"/>
        <v>9</v>
      </c>
      <c r="I73" s="4" t="s">
        <v>20</v>
      </c>
      <c r="J73" s="4">
        <f t="shared" si="8"/>
        <v>9000</v>
      </c>
      <c r="K73" s="4">
        <f t="shared" si="9"/>
        <v>81000</v>
      </c>
      <c r="L73" s="4">
        <v>4</v>
      </c>
      <c r="M73" s="4">
        <f t="shared" si="10"/>
        <v>1600</v>
      </c>
      <c r="N73" s="4">
        <f t="shared" si="11"/>
        <v>82600</v>
      </c>
      <c r="O73" s="4" t="str">
        <f t="shared" si="12"/>
        <v>7%</v>
      </c>
      <c r="P73" s="4">
        <f t="shared" si="13"/>
        <v>5782.0000000000009</v>
      </c>
      <c r="Q73" s="4">
        <f t="shared" si="14"/>
        <v>76818</v>
      </c>
    </row>
    <row r="74" spans="1:17" x14ac:dyDescent="0.3">
      <c r="A74" s="4">
        <v>69</v>
      </c>
      <c r="B74" s="5" t="s">
        <v>89</v>
      </c>
      <c r="C74" s="5">
        <v>9925703614</v>
      </c>
      <c r="D74" s="5" t="s">
        <v>82</v>
      </c>
      <c r="E74" s="6">
        <v>44750</v>
      </c>
      <c r="F74" s="4" t="s">
        <v>129</v>
      </c>
      <c r="G74" s="6">
        <v>44760</v>
      </c>
      <c r="H74" s="4">
        <f t="shared" si="0"/>
        <v>10</v>
      </c>
      <c r="I74" s="4" t="s">
        <v>13</v>
      </c>
      <c r="J74" s="4">
        <f t="shared" si="8"/>
        <v>3000</v>
      </c>
      <c r="K74" s="4">
        <f t="shared" si="9"/>
        <v>30000</v>
      </c>
      <c r="L74" s="4">
        <v>2</v>
      </c>
      <c r="M74" s="4">
        <f t="shared" si="10"/>
        <v>800</v>
      </c>
      <c r="N74" s="4">
        <f t="shared" si="11"/>
        <v>30800</v>
      </c>
      <c r="O74" s="4" t="str">
        <f t="shared" si="12"/>
        <v>7%</v>
      </c>
      <c r="P74" s="4">
        <f t="shared" si="13"/>
        <v>2156</v>
      </c>
      <c r="Q74" s="4">
        <f t="shared" si="14"/>
        <v>28644</v>
      </c>
    </row>
    <row r="75" spans="1:17" x14ac:dyDescent="0.3">
      <c r="A75" s="4">
        <v>70</v>
      </c>
      <c r="B75" s="5" t="s">
        <v>90</v>
      </c>
      <c r="C75" s="5">
        <v>9324136886</v>
      </c>
      <c r="D75" s="5" t="s">
        <v>82</v>
      </c>
      <c r="E75" s="6">
        <v>44751</v>
      </c>
      <c r="F75" s="4" t="s">
        <v>17</v>
      </c>
      <c r="G75" s="6">
        <v>44754</v>
      </c>
      <c r="H75" s="4">
        <f t="shared" si="0"/>
        <v>3</v>
      </c>
      <c r="I75" s="4" t="s">
        <v>20</v>
      </c>
      <c r="J75" s="4">
        <f t="shared" si="8"/>
        <v>9000</v>
      </c>
      <c r="K75" s="4">
        <f t="shared" si="9"/>
        <v>27000</v>
      </c>
      <c r="L75" s="4">
        <v>5</v>
      </c>
      <c r="M75" s="4">
        <f t="shared" si="10"/>
        <v>2000</v>
      </c>
      <c r="N75" s="4">
        <f t="shared" si="11"/>
        <v>29000</v>
      </c>
      <c r="O75" s="4" t="str">
        <f t="shared" si="12"/>
        <v>7%</v>
      </c>
      <c r="P75" s="4">
        <f t="shared" si="13"/>
        <v>2030.0000000000002</v>
      </c>
      <c r="Q75" s="4">
        <f t="shared" si="14"/>
        <v>26970</v>
      </c>
    </row>
    <row r="76" spans="1:17" x14ac:dyDescent="0.3">
      <c r="A76" s="4">
        <v>71</v>
      </c>
      <c r="B76" s="5" t="s">
        <v>91</v>
      </c>
      <c r="C76" s="4">
        <v>8566971235</v>
      </c>
      <c r="D76" s="4" t="s">
        <v>82</v>
      </c>
      <c r="E76" s="6">
        <v>44752</v>
      </c>
      <c r="F76" s="4" t="s">
        <v>19</v>
      </c>
      <c r="G76" s="6">
        <v>44756</v>
      </c>
      <c r="H76" s="4">
        <f t="shared" si="0"/>
        <v>4</v>
      </c>
      <c r="I76" s="4" t="s">
        <v>24</v>
      </c>
      <c r="J76" s="4">
        <f t="shared" si="8"/>
        <v>5000</v>
      </c>
      <c r="K76" s="4">
        <f t="shared" si="9"/>
        <v>20000</v>
      </c>
      <c r="L76" s="4">
        <v>4</v>
      </c>
      <c r="M76" s="4">
        <f t="shared" si="10"/>
        <v>1600</v>
      </c>
      <c r="N76" s="4">
        <f t="shared" si="11"/>
        <v>21600</v>
      </c>
      <c r="O76" s="4" t="str">
        <f t="shared" si="12"/>
        <v>7%</v>
      </c>
      <c r="P76" s="4">
        <f t="shared" si="13"/>
        <v>1512.0000000000002</v>
      </c>
      <c r="Q76" s="4">
        <f t="shared" si="14"/>
        <v>20088</v>
      </c>
    </row>
    <row r="77" spans="1:17" x14ac:dyDescent="0.3">
      <c r="A77" s="4">
        <v>72</v>
      </c>
      <c r="B77" s="5" t="s">
        <v>92</v>
      </c>
      <c r="C77" s="4">
        <v>8696541235</v>
      </c>
      <c r="D77" s="4" t="s">
        <v>82</v>
      </c>
      <c r="E77" s="6">
        <v>44753</v>
      </c>
      <c r="F77" s="4" t="s">
        <v>15</v>
      </c>
      <c r="G77" s="6">
        <v>44771</v>
      </c>
      <c r="H77" s="4">
        <f t="shared" si="0"/>
        <v>18</v>
      </c>
      <c r="I77" s="4" t="s">
        <v>13</v>
      </c>
      <c r="J77" s="4">
        <f t="shared" si="8"/>
        <v>3000</v>
      </c>
      <c r="K77" s="4">
        <f t="shared" si="9"/>
        <v>54000</v>
      </c>
      <c r="L77" s="4">
        <v>3</v>
      </c>
      <c r="M77" s="4">
        <f t="shared" si="10"/>
        <v>1200</v>
      </c>
      <c r="N77" s="4">
        <f t="shared" si="11"/>
        <v>55200</v>
      </c>
      <c r="O77" s="4" t="str">
        <f t="shared" si="12"/>
        <v>7%</v>
      </c>
      <c r="P77" s="4">
        <f t="shared" si="13"/>
        <v>3864.0000000000005</v>
      </c>
      <c r="Q77" s="4">
        <f t="shared" si="14"/>
        <v>51336</v>
      </c>
    </row>
    <row r="78" spans="1:17" x14ac:dyDescent="0.3">
      <c r="A78" s="4">
        <v>73</v>
      </c>
      <c r="B78" s="5" t="s">
        <v>93</v>
      </c>
      <c r="C78" s="4">
        <v>7731489762</v>
      </c>
      <c r="D78" s="4" t="s">
        <v>82</v>
      </c>
      <c r="E78" s="6">
        <v>44754</v>
      </c>
      <c r="F78" s="4" t="s">
        <v>19</v>
      </c>
      <c r="G78" s="6">
        <v>44760</v>
      </c>
      <c r="H78" s="4">
        <f t="shared" si="0"/>
        <v>6</v>
      </c>
      <c r="I78" s="4" t="s">
        <v>13</v>
      </c>
      <c r="J78" s="4">
        <f t="shared" si="8"/>
        <v>3000</v>
      </c>
      <c r="K78" s="4">
        <f t="shared" si="9"/>
        <v>18000</v>
      </c>
      <c r="L78" s="4">
        <v>2</v>
      </c>
      <c r="M78" s="4">
        <f t="shared" si="10"/>
        <v>800</v>
      </c>
      <c r="N78" s="4">
        <f t="shared" si="11"/>
        <v>18800</v>
      </c>
      <c r="O78" s="4" t="str">
        <f t="shared" si="12"/>
        <v>7%</v>
      </c>
      <c r="P78" s="4">
        <f t="shared" si="13"/>
        <v>1316.0000000000002</v>
      </c>
      <c r="Q78" s="4">
        <f t="shared" si="14"/>
        <v>17484</v>
      </c>
    </row>
    <row r="79" spans="1:17" ht="27.6" x14ac:dyDescent="0.3">
      <c r="A79" s="4">
        <v>74</v>
      </c>
      <c r="B79" s="5" t="s">
        <v>94</v>
      </c>
      <c r="C79" s="4">
        <v>88896485123</v>
      </c>
      <c r="D79" s="4" t="s">
        <v>82</v>
      </c>
      <c r="E79" s="6">
        <v>44755</v>
      </c>
      <c r="F79" s="4" t="s">
        <v>12</v>
      </c>
      <c r="G79" s="6">
        <v>44765</v>
      </c>
      <c r="H79" s="4">
        <f t="shared" si="0"/>
        <v>10</v>
      </c>
      <c r="I79" s="4" t="s">
        <v>20</v>
      </c>
      <c r="J79" s="4">
        <f t="shared" si="8"/>
        <v>9000</v>
      </c>
      <c r="K79" s="4">
        <f t="shared" si="9"/>
        <v>90000</v>
      </c>
      <c r="L79" s="4">
        <v>1</v>
      </c>
      <c r="M79" s="4">
        <f t="shared" si="10"/>
        <v>400</v>
      </c>
      <c r="N79" s="4">
        <f t="shared" si="11"/>
        <v>90400</v>
      </c>
      <c r="O79" s="4" t="str">
        <f t="shared" si="12"/>
        <v>7%</v>
      </c>
      <c r="P79" s="4">
        <f t="shared" si="13"/>
        <v>6328.0000000000009</v>
      </c>
      <c r="Q79" s="4">
        <f t="shared" si="14"/>
        <v>84072</v>
      </c>
    </row>
    <row r="80" spans="1:17" x14ac:dyDescent="0.3">
      <c r="A80" s="4">
        <v>75</v>
      </c>
      <c r="B80" s="5" t="s">
        <v>95</v>
      </c>
      <c r="C80" s="4">
        <v>9667451239</v>
      </c>
      <c r="D80" s="4" t="s">
        <v>82</v>
      </c>
      <c r="E80" s="6">
        <v>44756</v>
      </c>
      <c r="F80" s="4" t="s">
        <v>22</v>
      </c>
      <c r="G80" s="6">
        <v>44758</v>
      </c>
      <c r="H80" s="4">
        <f t="shared" si="0"/>
        <v>2</v>
      </c>
      <c r="I80" s="4" t="s">
        <v>13</v>
      </c>
      <c r="J80" s="4">
        <f t="shared" si="8"/>
        <v>3000</v>
      </c>
      <c r="K80" s="4">
        <f t="shared" si="9"/>
        <v>6000</v>
      </c>
      <c r="L80" s="4">
        <v>3</v>
      </c>
      <c r="M80" s="4">
        <f t="shared" si="10"/>
        <v>1200</v>
      </c>
      <c r="N80" s="4">
        <f t="shared" si="11"/>
        <v>7200</v>
      </c>
      <c r="O80" s="4" t="str">
        <f t="shared" si="12"/>
        <v>3%</v>
      </c>
      <c r="P80" s="4">
        <f t="shared" si="13"/>
        <v>216</v>
      </c>
      <c r="Q80" s="4">
        <f t="shared" si="14"/>
        <v>6984</v>
      </c>
    </row>
    <row r="81" spans="1:17" x14ac:dyDescent="0.3">
      <c r="A81" s="4">
        <v>76</v>
      </c>
      <c r="B81" s="5" t="s">
        <v>96</v>
      </c>
      <c r="C81" s="4">
        <v>7874563152</v>
      </c>
      <c r="D81" s="4" t="s">
        <v>82</v>
      </c>
      <c r="E81" s="6">
        <v>44757</v>
      </c>
      <c r="F81" s="4" t="s">
        <v>19</v>
      </c>
      <c r="G81" s="6">
        <v>44767</v>
      </c>
      <c r="H81" s="4">
        <f t="shared" si="0"/>
        <v>10</v>
      </c>
      <c r="I81" s="4" t="s">
        <v>20</v>
      </c>
      <c r="J81" s="4">
        <f t="shared" si="8"/>
        <v>9000</v>
      </c>
      <c r="K81" s="4">
        <f t="shared" si="9"/>
        <v>90000</v>
      </c>
      <c r="L81" s="4">
        <v>2</v>
      </c>
      <c r="M81" s="4">
        <f t="shared" si="10"/>
        <v>800</v>
      </c>
      <c r="N81" s="4">
        <f t="shared" si="11"/>
        <v>90800</v>
      </c>
      <c r="O81" s="4" t="str">
        <f t="shared" si="12"/>
        <v>7%</v>
      </c>
      <c r="P81" s="4">
        <f t="shared" si="13"/>
        <v>6356.0000000000009</v>
      </c>
      <c r="Q81" s="4">
        <f t="shared" si="14"/>
        <v>84444</v>
      </c>
    </row>
    <row r="82" spans="1:17" x14ac:dyDescent="0.3">
      <c r="A82" s="4">
        <v>77</v>
      </c>
      <c r="B82" s="5" t="s">
        <v>97</v>
      </c>
      <c r="C82" s="4">
        <v>9874568231</v>
      </c>
      <c r="D82" s="4" t="s">
        <v>82</v>
      </c>
      <c r="E82" s="6">
        <v>44758</v>
      </c>
      <c r="F82" s="4" t="s">
        <v>19</v>
      </c>
      <c r="G82" s="6">
        <v>44761</v>
      </c>
      <c r="H82" s="4">
        <f t="shared" si="0"/>
        <v>3</v>
      </c>
      <c r="I82" s="4" t="s">
        <v>13</v>
      </c>
      <c r="J82" s="4">
        <f t="shared" si="8"/>
        <v>3000</v>
      </c>
      <c r="K82" s="4">
        <f t="shared" si="9"/>
        <v>9000</v>
      </c>
      <c r="L82" s="4">
        <v>4</v>
      </c>
      <c r="M82" s="4">
        <f t="shared" si="10"/>
        <v>1600</v>
      </c>
      <c r="N82" s="4">
        <f t="shared" si="11"/>
        <v>10600</v>
      </c>
      <c r="O82" s="4" t="str">
        <f t="shared" si="12"/>
        <v>5%</v>
      </c>
      <c r="P82" s="4">
        <f t="shared" si="13"/>
        <v>530</v>
      </c>
      <c r="Q82" s="4">
        <f t="shared" si="14"/>
        <v>10070</v>
      </c>
    </row>
    <row r="83" spans="1:17" x14ac:dyDescent="0.3">
      <c r="A83" s="4">
        <v>78</v>
      </c>
      <c r="B83" s="5" t="s">
        <v>98</v>
      </c>
      <c r="C83" s="4">
        <v>7896541238</v>
      </c>
      <c r="D83" s="4" t="s">
        <v>82</v>
      </c>
      <c r="E83" s="6">
        <v>44759</v>
      </c>
      <c r="F83" s="4" t="s">
        <v>129</v>
      </c>
      <c r="G83" s="6">
        <v>44764</v>
      </c>
      <c r="H83" s="4">
        <f t="shared" si="0"/>
        <v>5</v>
      </c>
      <c r="I83" s="4" t="s">
        <v>20</v>
      </c>
      <c r="J83" s="4">
        <f t="shared" si="8"/>
        <v>9000</v>
      </c>
      <c r="K83" s="4">
        <f t="shared" si="9"/>
        <v>45000</v>
      </c>
      <c r="L83" s="4">
        <v>2</v>
      </c>
      <c r="M83" s="4">
        <f t="shared" si="10"/>
        <v>800</v>
      </c>
      <c r="N83" s="4">
        <f t="shared" si="11"/>
        <v>45800</v>
      </c>
      <c r="O83" s="4" t="str">
        <f t="shared" si="12"/>
        <v>7%</v>
      </c>
      <c r="P83" s="4">
        <f t="shared" si="13"/>
        <v>3206.0000000000005</v>
      </c>
      <c r="Q83" s="4">
        <f t="shared" si="14"/>
        <v>42594</v>
      </c>
    </row>
    <row r="84" spans="1:17" x14ac:dyDescent="0.3">
      <c r="A84" s="4">
        <v>79</v>
      </c>
      <c r="B84" s="5" t="s">
        <v>99</v>
      </c>
      <c r="C84" s="4">
        <v>7799865412</v>
      </c>
      <c r="D84" s="4" t="s">
        <v>82</v>
      </c>
      <c r="E84" s="6">
        <v>44760</v>
      </c>
      <c r="F84" s="4" t="s">
        <v>22</v>
      </c>
      <c r="G84" s="6">
        <v>44770</v>
      </c>
      <c r="H84" s="4">
        <f t="shared" si="0"/>
        <v>10</v>
      </c>
      <c r="I84" s="4" t="s">
        <v>13</v>
      </c>
      <c r="J84" s="4">
        <f t="shared" si="8"/>
        <v>3000</v>
      </c>
      <c r="K84" s="4">
        <f t="shared" si="9"/>
        <v>30000</v>
      </c>
      <c r="L84" s="4">
        <v>3</v>
      </c>
      <c r="M84" s="4">
        <f t="shared" si="10"/>
        <v>1200</v>
      </c>
      <c r="N84" s="4">
        <f t="shared" si="11"/>
        <v>31200</v>
      </c>
      <c r="O84" s="4" t="str">
        <f t="shared" si="12"/>
        <v>7%</v>
      </c>
      <c r="P84" s="4">
        <f t="shared" si="13"/>
        <v>2184</v>
      </c>
      <c r="Q84" s="4">
        <f t="shared" si="14"/>
        <v>29016</v>
      </c>
    </row>
    <row r="85" spans="1:17" x14ac:dyDescent="0.3">
      <c r="A85" s="4">
        <v>80</v>
      </c>
      <c r="B85" s="5" t="s">
        <v>100</v>
      </c>
      <c r="C85" s="4">
        <v>8546971245</v>
      </c>
      <c r="D85" s="4" t="s">
        <v>82</v>
      </c>
      <c r="E85" s="6">
        <v>44761</v>
      </c>
      <c r="F85" s="4" t="s">
        <v>15</v>
      </c>
      <c r="G85" s="6">
        <v>44765</v>
      </c>
      <c r="H85" s="4">
        <f t="shared" si="0"/>
        <v>4</v>
      </c>
      <c r="I85" s="4" t="s">
        <v>24</v>
      </c>
      <c r="J85" s="4">
        <f t="shared" si="8"/>
        <v>5000</v>
      </c>
      <c r="K85" s="4">
        <f t="shared" si="9"/>
        <v>20000</v>
      </c>
      <c r="L85" s="4">
        <v>2</v>
      </c>
      <c r="M85" s="4">
        <f t="shared" si="10"/>
        <v>800</v>
      </c>
      <c r="N85" s="4">
        <f t="shared" si="11"/>
        <v>20800</v>
      </c>
      <c r="O85" s="4" t="str">
        <f t="shared" si="12"/>
        <v>7%</v>
      </c>
      <c r="P85" s="4">
        <f t="shared" si="13"/>
        <v>1456.0000000000002</v>
      </c>
      <c r="Q85" s="4">
        <f t="shared" si="14"/>
        <v>19344</v>
      </c>
    </row>
    <row r="86" spans="1:17" x14ac:dyDescent="0.3">
      <c r="A86" s="4">
        <v>81</v>
      </c>
      <c r="B86" s="5" t="s">
        <v>101</v>
      </c>
      <c r="C86" s="4">
        <v>7896545235</v>
      </c>
      <c r="D86" s="4" t="s">
        <v>82</v>
      </c>
      <c r="E86" s="6">
        <v>44762</v>
      </c>
      <c r="F86" s="4" t="s">
        <v>129</v>
      </c>
      <c r="G86" s="6">
        <v>44767</v>
      </c>
      <c r="H86" s="4">
        <f t="shared" si="0"/>
        <v>5</v>
      </c>
      <c r="I86" s="4" t="s">
        <v>24</v>
      </c>
      <c r="J86" s="4">
        <f t="shared" si="8"/>
        <v>5000</v>
      </c>
      <c r="K86" s="4">
        <f t="shared" si="9"/>
        <v>25000</v>
      </c>
      <c r="L86" s="4">
        <v>5</v>
      </c>
      <c r="M86" s="4">
        <f t="shared" si="10"/>
        <v>2000</v>
      </c>
      <c r="N86" s="4">
        <f t="shared" si="11"/>
        <v>27000</v>
      </c>
      <c r="O86" s="4" t="str">
        <f t="shared" si="12"/>
        <v>7%</v>
      </c>
      <c r="P86" s="4">
        <f t="shared" si="13"/>
        <v>1890.0000000000002</v>
      </c>
      <c r="Q86" s="4">
        <f t="shared" si="14"/>
        <v>25110</v>
      </c>
    </row>
    <row r="87" spans="1:17" x14ac:dyDescent="0.3">
      <c r="A87" s="4">
        <v>82</v>
      </c>
      <c r="B87" s="5" t="s">
        <v>102</v>
      </c>
      <c r="C87" s="4">
        <v>6531899740</v>
      </c>
      <c r="D87" s="4" t="s">
        <v>82</v>
      </c>
      <c r="E87" s="6">
        <v>44763</v>
      </c>
      <c r="F87" s="4" t="s">
        <v>129</v>
      </c>
      <c r="G87" s="6">
        <v>44789</v>
      </c>
      <c r="H87" s="4">
        <f t="shared" si="0"/>
        <v>26</v>
      </c>
      <c r="I87" s="4" t="s">
        <v>24</v>
      </c>
      <c r="J87" s="4">
        <f t="shared" si="8"/>
        <v>5000</v>
      </c>
      <c r="K87" s="4">
        <f t="shared" si="9"/>
        <v>130000</v>
      </c>
      <c r="L87" s="4">
        <v>4</v>
      </c>
      <c r="M87" s="4">
        <f t="shared" si="10"/>
        <v>1600</v>
      </c>
      <c r="N87" s="4">
        <f t="shared" si="11"/>
        <v>131600</v>
      </c>
      <c r="O87" s="4" t="str">
        <f t="shared" si="12"/>
        <v>7%</v>
      </c>
      <c r="P87" s="4">
        <f t="shared" si="13"/>
        <v>9212</v>
      </c>
      <c r="Q87" s="4">
        <f t="shared" si="14"/>
        <v>122388</v>
      </c>
    </row>
    <row r="88" spans="1:17" x14ac:dyDescent="0.3">
      <c r="A88" s="4">
        <v>83</v>
      </c>
      <c r="B88" s="5" t="s">
        <v>103</v>
      </c>
      <c r="C88" s="4">
        <v>7896485120</v>
      </c>
      <c r="D88" s="4" t="s">
        <v>82</v>
      </c>
      <c r="E88" s="6">
        <v>44764</v>
      </c>
      <c r="F88" s="4" t="s">
        <v>129</v>
      </c>
      <c r="G88" s="6">
        <v>44774</v>
      </c>
      <c r="H88" s="4">
        <f t="shared" si="0"/>
        <v>10</v>
      </c>
      <c r="I88" s="4" t="s">
        <v>20</v>
      </c>
      <c r="J88" s="4">
        <f>IF(I88="Normal",3000,IF(I88="VIP",5000,IF(I88="VVIP",9000,0)))</f>
        <v>9000</v>
      </c>
      <c r="K88" s="4">
        <f t="shared" si="9"/>
        <v>90000</v>
      </c>
      <c r="L88" s="4">
        <v>3</v>
      </c>
      <c r="M88" s="4">
        <f t="shared" si="10"/>
        <v>1200</v>
      </c>
      <c r="N88" s="4">
        <f t="shared" si="11"/>
        <v>91200</v>
      </c>
      <c r="O88" s="4" t="str">
        <f t="shared" si="12"/>
        <v>7%</v>
      </c>
      <c r="P88" s="4">
        <f t="shared" si="13"/>
        <v>6384.0000000000009</v>
      </c>
      <c r="Q88" s="4">
        <f t="shared" si="14"/>
        <v>84816</v>
      </c>
    </row>
    <row r="89" spans="1:17" x14ac:dyDescent="0.3">
      <c r="A89" s="4">
        <v>84</v>
      </c>
      <c r="B89" s="5" t="s">
        <v>104</v>
      </c>
      <c r="C89" s="4">
        <v>9867451275</v>
      </c>
      <c r="D89" s="4" t="s">
        <v>82</v>
      </c>
      <c r="E89" s="6">
        <v>44765</v>
      </c>
      <c r="F89" s="4" t="s">
        <v>15</v>
      </c>
      <c r="G89" s="6">
        <v>44772</v>
      </c>
      <c r="H89" s="4">
        <f t="shared" si="0"/>
        <v>7</v>
      </c>
      <c r="I89" s="4" t="s">
        <v>13</v>
      </c>
      <c r="J89" s="4">
        <f t="shared" ref="J89:J97" si="15">IF(I89="Normal",3000,IF(I89="VIP",5000,IF(I89="VVIP",9000,0)))</f>
        <v>3000</v>
      </c>
      <c r="K89" s="4">
        <f t="shared" si="9"/>
        <v>21000</v>
      </c>
      <c r="L89" s="4">
        <v>2</v>
      </c>
      <c r="M89" s="4">
        <f t="shared" si="10"/>
        <v>800</v>
      </c>
      <c r="N89" s="4">
        <f t="shared" si="11"/>
        <v>21800</v>
      </c>
      <c r="O89" s="4" t="str">
        <f t="shared" si="12"/>
        <v>7%</v>
      </c>
      <c r="P89" s="4">
        <f t="shared" si="13"/>
        <v>1526.0000000000002</v>
      </c>
      <c r="Q89" s="4">
        <f t="shared" si="14"/>
        <v>20274</v>
      </c>
    </row>
    <row r="90" spans="1:17" x14ac:dyDescent="0.3">
      <c r="A90" s="4">
        <v>85</v>
      </c>
      <c r="B90" s="5" t="s">
        <v>105</v>
      </c>
      <c r="C90" s="4">
        <v>9877863152</v>
      </c>
      <c r="D90" s="4" t="s">
        <v>82</v>
      </c>
      <c r="E90" s="6">
        <v>44766</v>
      </c>
      <c r="F90" s="4" t="s">
        <v>17</v>
      </c>
      <c r="G90" s="6">
        <v>44779</v>
      </c>
      <c r="H90" s="4">
        <f t="shared" si="0"/>
        <v>13</v>
      </c>
      <c r="I90" s="4" t="s">
        <v>24</v>
      </c>
      <c r="J90" s="4">
        <f t="shared" si="15"/>
        <v>5000</v>
      </c>
      <c r="K90" s="4">
        <f t="shared" si="9"/>
        <v>65000</v>
      </c>
      <c r="L90" s="4">
        <v>1</v>
      </c>
      <c r="M90" s="4">
        <f t="shared" si="10"/>
        <v>400</v>
      </c>
      <c r="N90" s="4">
        <f t="shared" si="11"/>
        <v>65400</v>
      </c>
      <c r="O90" s="4" t="str">
        <f t="shared" si="12"/>
        <v>7%</v>
      </c>
      <c r="P90" s="4">
        <f t="shared" si="13"/>
        <v>4578</v>
      </c>
      <c r="Q90" s="4">
        <f t="shared" si="14"/>
        <v>60822</v>
      </c>
    </row>
    <row r="91" spans="1:17" x14ac:dyDescent="0.3">
      <c r="A91" s="4">
        <v>86</v>
      </c>
      <c r="B91" s="5" t="s">
        <v>106</v>
      </c>
      <c r="C91" s="4">
        <v>7864589512</v>
      </c>
      <c r="D91" s="4" t="s">
        <v>82</v>
      </c>
      <c r="E91" s="6">
        <v>44767</v>
      </c>
      <c r="F91" s="4" t="s">
        <v>19</v>
      </c>
      <c r="G91" s="6">
        <v>44773</v>
      </c>
      <c r="H91" s="4">
        <f t="shared" si="0"/>
        <v>6</v>
      </c>
      <c r="I91" s="4" t="s">
        <v>13</v>
      </c>
      <c r="J91" s="4">
        <f t="shared" si="15"/>
        <v>3000</v>
      </c>
      <c r="K91" s="4">
        <f t="shared" si="9"/>
        <v>18000</v>
      </c>
      <c r="L91" s="4">
        <v>3</v>
      </c>
      <c r="M91" s="4">
        <f t="shared" si="10"/>
        <v>1200</v>
      </c>
      <c r="N91" s="4">
        <f t="shared" si="11"/>
        <v>19200</v>
      </c>
      <c r="O91" s="4" t="str">
        <f t="shared" si="12"/>
        <v>7%</v>
      </c>
      <c r="P91" s="4">
        <f t="shared" si="13"/>
        <v>1344.0000000000002</v>
      </c>
      <c r="Q91" s="4">
        <f t="shared" si="14"/>
        <v>17856</v>
      </c>
    </row>
    <row r="92" spans="1:17" x14ac:dyDescent="0.3">
      <c r="A92" s="4">
        <v>87</v>
      </c>
      <c r="B92" s="5" t="s">
        <v>107</v>
      </c>
      <c r="C92" s="4">
        <v>7954632189</v>
      </c>
      <c r="D92" s="4" t="s">
        <v>82</v>
      </c>
      <c r="E92" s="6">
        <v>44768</v>
      </c>
      <c r="F92" s="4" t="s">
        <v>128</v>
      </c>
      <c r="G92" s="6">
        <v>44774</v>
      </c>
      <c r="H92" s="4">
        <f t="shared" si="0"/>
        <v>6</v>
      </c>
      <c r="I92" s="4" t="s">
        <v>24</v>
      </c>
      <c r="J92" s="4">
        <f t="shared" si="15"/>
        <v>5000</v>
      </c>
      <c r="K92" s="4">
        <f t="shared" si="9"/>
        <v>30000</v>
      </c>
      <c r="L92" s="4">
        <v>2</v>
      </c>
      <c r="M92" s="4">
        <f t="shared" si="10"/>
        <v>800</v>
      </c>
      <c r="N92" s="4">
        <f t="shared" si="11"/>
        <v>30800</v>
      </c>
      <c r="O92" s="4" t="str">
        <f t="shared" si="12"/>
        <v>7%</v>
      </c>
      <c r="P92" s="4">
        <f t="shared" si="13"/>
        <v>2156</v>
      </c>
      <c r="Q92" s="4">
        <f t="shared" si="14"/>
        <v>28644</v>
      </c>
    </row>
    <row r="93" spans="1:17" x14ac:dyDescent="0.3">
      <c r="A93" s="4">
        <v>88</v>
      </c>
      <c r="B93" s="5" t="s">
        <v>108</v>
      </c>
      <c r="C93" s="4">
        <v>984571235</v>
      </c>
      <c r="D93" s="4" t="s">
        <v>82</v>
      </c>
      <c r="E93" s="6">
        <v>44769</v>
      </c>
      <c r="F93" s="4" t="s">
        <v>12</v>
      </c>
      <c r="G93" s="6">
        <v>44779</v>
      </c>
      <c r="H93" s="4">
        <f t="shared" si="0"/>
        <v>10</v>
      </c>
      <c r="I93" s="4" t="s">
        <v>20</v>
      </c>
      <c r="J93" s="4">
        <f t="shared" si="15"/>
        <v>9000</v>
      </c>
      <c r="K93" s="4">
        <f t="shared" si="9"/>
        <v>90000</v>
      </c>
      <c r="L93" s="4">
        <v>4</v>
      </c>
      <c r="M93" s="4">
        <f t="shared" si="10"/>
        <v>1600</v>
      </c>
      <c r="N93" s="4">
        <f t="shared" si="11"/>
        <v>91600</v>
      </c>
      <c r="O93" s="4" t="str">
        <f t="shared" si="12"/>
        <v>7%</v>
      </c>
      <c r="P93" s="4">
        <f t="shared" si="13"/>
        <v>6412.0000000000009</v>
      </c>
      <c r="Q93" s="4">
        <f t="shared" si="14"/>
        <v>85188</v>
      </c>
    </row>
    <row r="94" spans="1:17" x14ac:dyDescent="0.3">
      <c r="A94" s="4">
        <v>89</v>
      </c>
      <c r="B94" s="5" t="s">
        <v>109</v>
      </c>
      <c r="C94" s="4">
        <v>7945838123</v>
      </c>
      <c r="D94" s="4" t="s">
        <v>82</v>
      </c>
      <c r="E94" s="6">
        <v>44770</v>
      </c>
      <c r="F94" s="4" t="s">
        <v>12</v>
      </c>
      <c r="G94" s="6">
        <v>44775</v>
      </c>
      <c r="H94" s="4">
        <f t="shared" si="0"/>
        <v>5</v>
      </c>
      <c r="I94" s="4" t="s">
        <v>13</v>
      </c>
      <c r="J94" s="4">
        <f t="shared" si="15"/>
        <v>3000</v>
      </c>
      <c r="K94" s="4">
        <f t="shared" si="9"/>
        <v>15000</v>
      </c>
      <c r="L94" s="4">
        <v>6</v>
      </c>
      <c r="M94" s="4">
        <f t="shared" si="10"/>
        <v>2400</v>
      </c>
      <c r="N94" s="4">
        <f t="shared" si="11"/>
        <v>17400</v>
      </c>
      <c r="O94" s="4" t="str">
        <f t="shared" si="12"/>
        <v>7%</v>
      </c>
      <c r="P94" s="4">
        <f t="shared" si="13"/>
        <v>1218.0000000000002</v>
      </c>
      <c r="Q94" s="4">
        <f t="shared" si="14"/>
        <v>16182</v>
      </c>
    </row>
    <row r="95" spans="1:17" x14ac:dyDescent="0.3">
      <c r="A95" s="4">
        <v>90</v>
      </c>
      <c r="B95" s="5" t="s">
        <v>110</v>
      </c>
      <c r="C95" s="4">
        <v>8974868951</v>
      </c>
      <c r="D95" s="4" t="s">
        <v>82</v>
      </c>
      <c r="E95" s="6">
        <v>44771</v>
      </c>
      <c r="F95" s="4" t="s">
        <v>15</v>
      </c>
      <c r="G95" s="6">
        <v>44778</v>
      </c>
      <c r="H95" s="4">
        <f t="shared" si="0"/>
        <v>7</v>
      </c>
      <c r="I95" s="4" t="s">
        <v>24</v>
      </c>
      <c r="J95" s="4">
        <f t="shared" si="15"/>
        <v>5000</v>
      </c>
      <c r="K95" s="4">
        <f t="shared" si="9"/>
        <v>35000</v>
      </c>
      <c r="L95" s="4">
        <v>2</v>
      </c>
      <c r="M95" s="4">
        <f t="shared" si="10"/>
        <v>800</v>
      </c>
      <c r="N95" s="4">
        <f t="shared" si="11"/>
        <v>35800</v>
      </c>
      <c r="O95" s="4" t="str">
        <f t="shared" si="12"/>
        <v>7%</v>
      </c>
      <c r="P95" s="4">
        <f t="shared" si="13"/>
        <v>2506.0000000000005</v>
      </c>
      <c r="Q95" s="4">
        <f t="shared" si="14"/>
        <v>33294</v>
      </c>
    </row>
    <row r="96" spans="1:17" x14ac:dyDescent="0.3">
      <c r="A96" s="4">
        <v>91</v>
      </c>
      <c r="B96" s="5" t="s">
        <v>111</v>
      </c>
      <c r="C96" s="4">
        <v>7755998864</v>
      </c>
      <c r="D96" s="4" t="s">
        <v>82</v>
      </c>
      <c r="E96" s="6">
        <v>44772</v>
      </c>
      <c r="F96" s="4" t="s">
        <v>128</v>
      </c>
      <c r="G96" s="6">
        <v>44776</v>
      </c>
      <c r="H96" s="4">
        <f t="shared" si="0"/>
        <v>4</v>
      </c>
      <c r="I96" s="4" t="s">
        <v>24</v>
      </c>
      <c r="J96" s="4">
        <f t="shared" si="15"/>
        <v>5000</v>
      </c>
      <c r="K96" s="4">
        <f t="shared" si="9"/>
        <v>20000</v>
      </c>
      <c r="L96" s="4">
        <v>4</v>
      </c>
      <c r="M96" s="4">
        <f t="shared" si="10"/>
        <v>1600</v>
      </c>
      <c r="N96" s="4">
        <f t="shared" si="11"/>
        <v>21600</v>
      </c>
      <c r="O96" s="4" t="str">
        <f t="shared" si="12"/>
        <v>7%</v>
      </c>
      <c r="P96" s="4">
        <f t="shared" si="13"/>
        <v>1512.0000000000002</v>
      </c>
      <c r="Q96" s="4">
        <f t="shared" si="14"/>
        <v>20088</v>
      </c>
    </row>
    <row r="97" spans="1:17" x14ac:dyDescent="0.3">
      <c r="A97" s="4">
        <v>92</v>
      </c>
      <c r="B97" s="5" t="s">
        <v>112</v>
      </c>
      <c r="C97" s="4">
        <v>7784596835</v>
      </c>
      <c r="D97" s="4" t="s">
        <v>82</v>
      </c>
      <c r="E97" s="6">
        <v>44773</v>
      </c>
      <c r="F97" s="4" t="s">
        <v>15</v>
      </c>
      <c r="G97" s="6">
        <v>44778</v>
      </c>
      <c r="H97" s="4">
        <f t="shared" si="0"/>
        <v>5</v>
      </c>
      <c r="I97" s="4" t="s">
        <v>13</v>
      </c>
      <c r="J97" s="4">
        <f t="shared" si="15"/>
        <v>3000</v>
      </c>
      <c r="K97" s="4">
        <f t="shared" si="9"/>
        <v>15000</v>
      </c>
      <c r="L97" s="4">
        <v>3</v>
      </c>
      <c r="M97" s="4">
        <f t="shared" si="10"/>
        <v>1200</v>
      </c>
      <c r="N97" s="4">
        <f t="shared" si="11"/>
        <v>16200</v>
      </c>
      <c r="O97" s="4" t="str">
        <f t="shared" si="12"/>
        <v>7%</v>
      </c>
      <c r="P97" s="4">
        <f t="shared" si="13"/>
        <v>1134</v>
      </c>
      <c r="Q97" s="4">
        <f t="shared" si="14"/>
        <v>15066</v>
      </c>
    </row>
  </sheetData>
  <mergeCells count="1">
    <mergeCell ref="A1:Q3"/>
  </mergeCells>
  <conditionalFormatting sqref="I1:I5">
    <cfRule type="containsText" dxfId="1" priority="2" operator="containsText" text="VVIP">
      <formula>NOT(ISERROR(SEARCH(("VVIP"),(I1))))</formula>
    </cfRule>
  </conditionalFormatting>
  <conditionalFormatting sqref="J5">
    <cfRule type="containsText" dxfId="0" priority="1" operator="containsText" text="VVIP">
      <formula>NOT(ISERROR(SEARCH(("VVIP"),(J5))))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368B-5026-4016-8DD8-A9B712CB94EC}">
  <dimension ref="A2:M20"/>
  <sheetViews>
    <sheetView zoomScaleNormal="100" workbookViewId="0">
      <selection activeCell="J20" sqref="J20"/>
    </sheetView>
  </sheetViews>
  <sheetFormatPr defaultRowHeight="14.4" x14ac:dyDescent="0.3"/>
  <cols>
    <col min="1" max="1" width="12.6640625" customWidth="1"/>
    <col min="2" max="2" width="14.21875" bestFit="1" customWidth="1"/>
    <col min="12" max="12" width="14" customWidth="1"/>
    <col min="13" max="13" width="15.109375" customWidth="1"/>
  </cols>
  <sheetData>
    <row r="2" spans="1:13" x14ac:dyDescent="0.3">
      <c r="A2" s="2" t="s">
        <v>114</v>
      </c>
      <c r="B2" s="2" t="s">
        <v>115</v>
      </c>
      <c r="L2" s="3" t="s">
        <v>132</v>
      </c>
    </row>
    <row r="3" spans="1:13" x14ac:dyDescent="0.3">
      <c r="A3" s="1" t="s">
        <v>113</v>
      </c>
      <c r="B3" s="1">
        <v>3000</v>
      </c>
      <c r="L3" s="2" t="s">
        <v>125</v>
      </c>
      <c r="M3" s="2" t="s">
        <v>130</v>
      </c>
    </row>
    <row r="4" spans="1:13" x14ac:dyDescent="0.3">
      <c r="A4" s="1" t="s">
        <v>24</v>
      </c>
      <c r="B4" s="1">
        <v>5000</v>
      </c>
      <c r="L4" s="1" t="s">
        <v>15</v>
      </c>
      <c r="M4" s="1">
        <f>COUNTIF($F$6:$F$97,"Accident")</f>
        <v>0</v>
      </c>
    </row>
    <row r="5" spans="1:13" x14ac:dyDescent="0.3">
      <c r="A5" s="1" t="s">
        <v>20</v>
      </c>
      <c r="B5" s="1">
        <v>9000</v>
      </c>
      <c r="L5" s="1" t="s">
        <v>129</v>
      </c>
      <c r="M5" s="1"/>
    </row>
    <row r="6" spans="1:13" x14ac:dyDescent="0.3">
      <c r="L6" s="1" t="s">
        <v>22</v>
      </c>
      <c r="M6" s="1"/>
    </row>
    <row r="7" spans="1:13" x14ac:dyDescent="0.3">
      <c r="A7" s="3" t="s">
        <v>123</v>
      </c>
      <c r="L7" s="1" t="s">
        <v>128</v>
      </c>
      <c r="M7" s="1"/>
    </row>
    <row r="8" spans="1:13" x14ac:dyDescent="0.3">
      <c r="A8" t="s">
        <v>134</v>
      </c>
      <c r="L8" s="1" t="s">
        <v>19</v>
      </c>
      <c r="M8" s="1"/>
    </row>
    <row r="9" spans="1:13" x14ac:dyDescent="0.3">
      <c r="A9" t="s">
        <v>135</v>
      </c>
      <c r="L9" s="1" t="s">
        <v>17</v>
      </c>
      <c r="M9" s="1"/>
    </row>
    <row r="10" spans="1:13" x14ac:dyDescent="0.3">
      <c r="A10" t="s">
        <v>136</v>
      </c>
      <c r="L10" s="1" t="s">
        <v>12</v>
      </c>
      <c r="M10" s="1"/>
    </row>
    <row r="11" spans="1:13" x14ac:dyDescent="0.3">
      <c r="A11" t="s">
        <v>139</v>
      </c>
    </row>
    <row r="12" spans="1:13" x14ac:dyDescent="0.3">
      <c r="A12" t="s">
        <v>133</v>
      </c>
      <c r="L12" s="3" t="s">
        <v>131</v>
      </c>
    </row>
    <row r="13" spans="1:13" x14ac:dyDescent="0.3">
      <c r="A13" t="s">
        <v>119</v>
      </c>
      <c r="L13" s="2" t="s">
        <v>125</v>
      </c>
      <c r="M13" s="2" t="s">
        <v>117</v>
      </c>
    </row>
    <row r="14" spans="1:13" x14ac:dyDescent="0.3">
      <c r="A14" t="s">
        <v>120</v>
      </c>
      <c r="L14" s="1" t="s">
        <v>15</v>
      </c>
      <c r="M14" s="1"/>
    </row>
    <row r="15" spans="1:13" x14ac:dyDescent="0.3">
      <c r="A15" t="s">
        <v>121</v>
      </c>
      <c r="L15" s="1" t="s">
        <v>129</v>
      </c>
      <c r="M15" s="1"/>
    </row>
    <row r="16" spans="1:13" x14ac:dyDescent="0.3">
      <c r="A16" t="s">
        <v>122</v>
      </c>
      <c r="L16" s="1" t="s">
        <v>22</v>
      </c>
      <c r="M16" s="1"/>
    </row>
    <row r="17" spans="1:13" x14ac:dyDescent="0.3">
      <c r="A17" t="s">
        <v>138</v>
      </c>
      <c r="L17" s="1" t="s">
        <v>128</v>
      </c>
      <c r="M17" s="1"/>
    </row>
    <row r="18" spans="1:13" x14ac:dyDescent="0.3">
      <c r="L18" s="1" t="s">
        <v>19</v>
      </c>
      <c r="M18" s="1"/>
    </row>
    <row r="19" spans="1:13" x14ac:dyDescent="0.3">
      <c r="L19" s="1" t="s">
        <v>17</v>
      </c>
      <c r="M19" s="1"/>
    </row>
    <row r="20" spans="1:13" x14ac:dyDescent="0.3">
      <c r="L20" s="1" t="s">
        <v>12</v>
      </c>
      <c r="M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 Ingale</dc:creator>
  <cp:lastModifiedBy>ADMIN</cp:lastModifiedBy>
  <dcterms:created xsi:type="dcterms:W3CDTF">2026-08-12T15:06:33Z</dcterms:created>
  <dcterms:modified xsi:type="dcterms:W3CDTF">2026-09-02T16:39:00Z</dcterms:modified>
</cp:coreProperties>
</file>