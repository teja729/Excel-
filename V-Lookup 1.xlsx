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4BE7E5B-F3BA-4FA6-9E02-BD19C9BC3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-lookup " sheetId="1" r:id="rId1"/>
    <sheet name="Name and Lo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FyT+/+0dVIVOZEYhBSoEW2Zqbv3p2VrToof26qjW6g=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<sst xmlns="http://schemas.openxmlformats.org/spreadsheetml/2006/main" count="46" uniqueCount="19">
  <si>
    <t>Name of students</t>
  </si>
  <si>
    <t>Gender</t>
  </si>
  <si>
    <t>Lighthouse Location</t>
  </si>
  <si>
    <t>Age</t>
  </si>
  <si>
    <t>Sumit Kulkarni</t>
  </si>
  <si>
    <t>Priyanka Sukale</t>
  </si>
  <si>
    <t>Aundh</t>
  </si>
  <si>
    <t>Female</t>
  </si>
  <si>
    <t>Unnati Parole</t>
  </si>
  <si>
    <t>Ayesha Khan</t>
  </si>
  <si>
    <t>Warje</t>
  </si>
  <si>
    <t>Rohit Haldar</t>
  </si>
  <si>
    <t>Sandeep Bhide</t>
  </si>
  <si>
    <t>Male</t>
  </si>
  <si>
    <t>Yerwada</t>
  </si>
  <si>
    <t>Vaishali Patole</t>
  </si>
  <si>
    <t>Bina Bhandarkar</t>
  </si>
  <si>
    <t>Lokesh Garg</t>
  </si>
  <si>
    <t>Kiran Sutaar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</si>
</sst>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F7" sqref="F7"/>
    </sheetView>
  </sheetViews>
  <sheetFormatPr defaultColWidth="14.44140625" defaultRowHeight="15" customHeight="1" x14ac:dyDescent="0.3"/>
  <cols>
    <col min="1" max="1" width="21.44140625" customWidth="1"/>
    <col min="2" max="2" width="15.109375" customWidth="1"/>
    <col min="3" max="3" width="12.109375" customWidth="1"/>
    <col min="4" max="4" width="22.6640625" customWidth="1"/>
    <col min="5" max="12" width="8.6640625" customWidth="1"/>
    <col min="13" max="13" width="24.33203125" customWidth="1"/>
    <col min="14" max="14" width="15" customWidth="1"/>
    <col min="15" max="26" width="8.6640625" customWidth="1"/>
  </cols>
  <sheetData>
    <row r="1" spans="1:24" ht="18" customHeight="1" x14ac:dyDescent="0.3">
      <c r="A1" s="1" t="s">
        <v>0</v>
      </c>
      <c r="B1" s="1" t="s">
        <v>1</v>
      </c>
      <c r="C1" s="1" t="s">
        <v>3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customHeight="1" x14ac:dyDescent="0.3">
      <c r="A2" s="3" t="s">
        <v>5</v>
      </c>
      <c r="B2" s="3" t="s">
        <v>7</v>
      </c>
      <c r="C2" s="3">
        <v>19</v>
      </c>
      <c r="D2" s="3" t="str">
        <f>VLOOKUP(A2,'Name and Location'!$A$1:$B$11,2,0)</f>
        <v>Yerwada</v>
      </c>
      <c r="E2" s="2"/>
      <c r="F2" s="2"/>
      <c r="G2" s="2"/>
      <c r="H2" s="2"/>
      <c r="I2" s="2"/>
      <c r="J2" s="2"/>
      <c r="K2" s="2"/>
      <c r="L2" s="2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" customHeight="1" x14ac:dyDescent="0.3">
      <c r="A3" s="3" t="s">
        <v>9</v>
      </c>
      <c r="B3" s="3" t="s">
        <v>7</v>
      </c>
      <c r="C3" s="3">
        <v>21</v>
      </c>
      <c r="D3" s="3" t="str">
        <f>VLOOKUP(A3,'Name and Location'!$A$1:$B$11,2,0)</f>
        <v>Warje</v>
      </c>
      <c r="E3" s="2"/>
      <c r="F3" s="2"/>
      <c r="G3" s="2"/>
      <c r="H3" s="2"/>
      <c r="I3" s="2"/>
      <c r="J3" s="2"/>
      <c r="K3" s="2"/>
      <c r="L3" s="2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 x14ac:dyDescent="0.3">
      <c r="A4" s="3" t="s">
        <v>11</v>
      </c>
      <c r="B4" s="3" t="s">
        <v>13</v>
      </c>
      <c r="C4" s="3">
        <v>24</v>
      </c>
      <c r="D4" s="3" t="str">
        <f>VLOOKUP(A4,'Name and Location'!$A$1:$B$11,2,0)</f>
        <v>Yerwada</v>
      </c>
      <c r="E4" s="2"/>
      <c r="F4" s="2"/>
      <c r="G4" s="2"/>
      <c r="H4" s="2"/>
      <c r="I4" s="2"/>
      <c r="J4" s="2"/>
      <c r="K4" s="2"/>
      <c r="L4" s="2"/>
      <c r="M4" s="4"/>
      <c r="N4" s="3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" customHeight="1" x14ac:dyDescent="0.3">
      <c r="A5" s="3" t="s">
        <v>16</v>
      </c>
      <c r="B5" s="3" t="s">
        <v>7</v>
      </c>
      <c r="C5" s="3">
        <v>22</v>
      </c>
      <c r="D5" s="3" t="str">
        <f>VLOOKUP(A5,'Name and Location'!$A$1:$B$11,2,0)</f>
        <v>Aundh</v>
      </c>
      <c r="E5" s="2"/>
      <c r="F5" s="2"/>
      <c r="G5" s="2"/>
      <c r="H5" s="2"/>
      <c r="I5" s="2"/>
      <c r="J5" s="2"/>
      <c r="K5" s="2"/>
      <c r="L5" s="2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8" customHeight="1" x14ac:dyDescent="0.3">
      <c r="A6" s="3" t="s">
        <v>17</v>
      </c>
      <c r="B6" s="3" t="s">
        <v>13</v>
      </c>
      <c r="C6" s="3">
        <v>20</v>
      </c>
      <c r="D6" s="3" t="str">
        <f>VLOOKUP(A6,'Name and Location'!$A$1:$B$11,2,0)</f>
        <v>Warje</v>
      </c>
      <c r="E6" s="2"/>
      <c r="F6" s="2"/>
      <c r="G6" s="2"/>
      <c r="H6" s="2"/>
      <c r="I6" s="2"/>
      <c r="J6" s="2"/>
      <c r="K6" s="2"/>
      <c r="L6" s="2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8" customHeight="1" x14ac:dyDescent="0.3">
      <c r="A7" s="3" t="s">
        <v>12</v>
      </c>
      <c r="B7" s="3" t="s">
        <v>13</v>
      </c>
      <c r="C7" s="3">
        <v>23</v>
      </c>
      <c r="D7" s="3" t="str">
        <f>VLOOKUP(A7,'Name and Location'!$A$1:$B$11,2,0)</f>
        <v>Yerwada</v>
      </c>
      <c r="E7" s="2"/>
      <c r="F7" s="2"/>
      <c r="G7" s="2"/>
      <c r="H7" s="2"/>
      <c r="I7" s="2"/>
      <c r="J7" s="2"/>
      <c r="K7" s="2"/>
      <c r="L7" s="2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8" customHeight="1" x14ac:dyDescent="0.3">
      <c r="A8" s="3" t="s">
        <v>18</v>
      </c>
      <c r="B8" s="3" t="s">
        <v>13</v>
      </c>
      <c r="C8" s="3">
        <v>18</v>
      </c>
      <c r="D8" s="3" t="str">
        <f>VLOOKUP(A8,'Name and Location'!$A$1:$B$11,2,0)</f>
        <v>Aundh</v>
      </c>
      <c r="E8" s="2"/>
      <c r="F8" s="2"/>
      <c r="G8" s="2"/>
      <c r="H8" s="2"/>
      <c r="I8" s="2"/>
      <c r="J8" s="2"/>
      <c r="K8" s="2"/>
      <c r="L8" s="2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8" customHeight="1" x14ac:dyDescent="0.3">
      <c r="A9" s="3" t="s">
        <v>8</v>
      </c>
      <c r="B9" s="3" t="s">
        <v>7</v>
      </c>
      <c r="C9" s="3">
        <v>25</v>
      </c>
      <c r="D9" s="3" t="str">
        <f>VLOOKUP(A9,'Name and Location'!$A$1:$B$11,2,0)</f>
        <v>Warje</v>
      </c>
      <c r="E9" s="2"/>
      <c r="F9" s="2"/>
      <c r="G9" s="2"/>
      <c r="H9" s="2"/>
      <c r="I9" s="2"/>
      <c r="J9" s="2"/>
      <c r="K9" s="2"/>
      <c r="L9" s="2"/>
      <c r="M9" s="4"/>
      <c r="N9" s="3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8" customHeight="1" x14ac:dyDescent="0.3">
      <c r="A10" s="3" t="s">
        <v>15</v>
      </c>
      <c r="B10" s="3" t="s">
        <v>7</v>
      </c>
      <c r="C10" s="3">
        <v>27</v>
      </c>
      <c r="D10" s="3" t="str">
        <f>VLOOKUP(A10,'Name and Location'!$A$1:$B$11,2,0)</f>
        <v>Aundh</v>
      </c>
      <c r="E10" s="2"/>
      <c r="F10" s="2"/>
      <c r="G10" s="2"/>
      <c r="H10" s="2"/>
      <c r="I10" s="2"/>
      <c r="J10" s="2"/>
      <c r="K10" s="2"/>
      <c r="L10" s="2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8" customHeight="1" x14ac:dyDescent="0.3">
      <c r="A11" s="3" t="s">
        <v>4</v>
      </c>
      <c r="B11" s="3" t="s">
        <v>13</v>
      </c>
      <c r="C11" s="3">
        <v>26</v>
      </c>
      <c r="D11" s="3" t="str">
        <f>VLOOKUP(A11,'Name and Location'!$A$1:$B$11,2,0)</f>
        <v>Aundh</v>
      </c>
      <c r="E11" s="2"/>
      <c r="F11" s="2"/>
      <c r="G11" s="2"/>
      <c r="H11" s="2"/>
      <c r="I11" s="2"/>
      <c r="J11" s="2"/>
      <c r="K11" s="2"/>
      <c r="L11" s="2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4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4.25" customHeight="1" x14ac:dyDescent="0.3"/>
    <row r="222" spans="1:24" ht="14.25" customHeight="1" x14ac:dyDescent="0.3"/>
    <row r="223" spans="1:24" ht="14.25" customHeight="1" x14ac:dyDescent="0.3"/>
    <row r="224" spans="1: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selection activeCell="A26" sqref="A26"/>
    </sheetView>
  </sheetViews>
  <sheetFormatPr defaultColWidth="14.44140625" defaultRowHeight="15" customHeight="1" x14ac:dyDescent="0.3"/>
  <cols>
    <col min="1" max="1" width="22.44140625" customWidth="1"/>
    <col min="2" max="2" width="25.44140625" customWidth="1"/>
    <col min="3" max="26" width="8.6640625" customWidth="1"/>
  </cols>
  <sheetData>
    <row r="1" spans="1:22" ht="18" customHeight="1" x14ac:dyDescent="0.3">
      <c r="A1" s="1" t="s">
        <v>0</v>
      </c>
      <c r="B1" s="1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8" customHeight="1" x14ac:dyDescent="0.3">
      <c r="A2" s="3" t="s">
        <v>4</v>
      </c>
      <c r="B2" s="3" t="s">
        <v>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" customHeight="1" x14ac:dyDescent="0.3">
      <c r="A3" s="4" t="s">
        <v>8</v>
      </c>
      <c r="B3" s="3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8" customHeight="1" x14ac:dyDescent="0.3">
      <c r="A4" s="3" t="s">
        <v>12</v>
      </c>
      <c r="B4" s="3" t="s">
        <v>14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" customHeight="1" x14ac:dyDescent="0.3">
      <c r="A5" s="3" t="s">
        <v>15</v>
      </c>
      <c r="B5" s="3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" customHeight="1" x14ac:dyDescent="0.3">
      <c r="A6" s="3" t="s">
        <v>17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" customHeight="1" x14ac:dyDescent="0.3">
      <c r="A7" s="3" t="s">
        <v>11</v>
      </c>
      <c r="B7" s="3" t="s">
        <v>14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" customHeight="1" x14ac:dyDescent="0.3">
      <c r="A8" s="4" t="s">
        <v>16</v>
      </c>
      <c r="B8" s="3" t="s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" customHeight="1" x14ac:dyDescent="0.3">
      <c r="A9" s="3" t="s">
        <v>9</v>
      </c>
      <c r="B9" s="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8" customHeight="1" x14ac:dyDescent="0.3">
      <c r="A10" s="3" t="s">
        <v>18</v>
      </c>
      <c r="B10" s="3" t="s">
        <v>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" customHeight="1" x14ac:dyDescent="0.3">
      <c r="A11" s="4" t="s">
        <v>5</v>
      </c>
      <c r="B11" s="3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25" customHeight="1" x14ac:dyDescent="0.3"/>
    <row r="222" spans="1:22" ht="14.25" customHeight="1" x14ac:dyDescent="0.3"/>
    <row r="223" spans="1:22" ht="14.25" customHeight="1" x14ac:dyDescent="0.3"/>
    <row r="224" spans="1:22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V-lookup </vt:lpstr>
      <vt:lpstr>Name and 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2015-06-05T18:17:20Z</dcterms:created>
  <dcterms:modified xsi:type="dcterms:W3CDTF">2026-09-21T13:50:39Z</dcterms:modified>
</cp:coreProperties>
</file>