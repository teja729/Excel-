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5BE8EE-5616-4930-AC2E-7FD10807B224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Example 1" sheetId="1" r:id="rId1"/>
    <sheet name="Example 2" sheetId="2" r:id="rId2"/>
    <sheet name="Example 3" sheetId="3" r:id="rId3"/>
    <sheet name="Example 4" sheetId="4" r:id="rId4"/>
    <sheet name="Example 5" sheetId="5" r:id="rId5"/>
    <sheet name="Example 6" sheetId="6" r:id="rId6"/>
    <sheet name="Example 7" sheetId="7" r:id="rId7"/>
    <sheet name="Example 8" sheetId="8" r:id="rId8"/>
    <sheet name="Definition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5" l="1"/>
  <c r="H9" i="3"/>
  <c r="J10" i="7" a="1"/>
  <c r="H4" i="8" a="1"/>
  <c r="I4" i="7"/>
  <c r="H9" i="6"/>
  <c r="H4" i="6"/>
  <c r="H4" i="4" a="1"/>
  <c r="H4" i="3" a="1"/>
  <c r="H4" i="2"/>
  <c r="I11" i="1"/>
  <c r="I8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<sst xmlns="http://schemas.openxmlformats.org/spreadsheetml/2006/main" count="139" uniqueCount="51">
  <si>
    <t>Item ID</t>
  </si>
  <si>
    <t>Item NAME</t>
  </si>
  <si>
    <t>DATE</t>
  </si>
  <si>
    <t>SALE</t>
  </si>
  <si>
    <t>Right to Left / Left to Right</t>
  </si>
  <si>
    <t>Lookup All Data</t>
  </si>
  <si>
    <t>SALE 1</t>
  </si>
  <si>
    <t>SALE 2</t>
  </si>
  <si>
    <t>Total Sale</t>
  </si>
  <si>
    <t>Match Mode</t>
  </si>
  <si>
    <t>Search Mode</t>
  </si>
  <si>
    <t>Xlookup VS Hlookup</t>
  </si>
  <si>
    <t>item name</t>
  </si>
  <si>
    <t>Two Way Lookup</t>
  </si>
  <si>
    <t>ID</t>
  </si>
  <si>
    <t>Jan</t>
  </si>
  <si>
    <t>Feb</t>
  </si>
  <si>
    <t>Mar</t>
  </si>
  <si>
    <t>Apr</t>
  </si>
  <si>
    <t>Multiple Lookup Values</t>
  </si>
  <si>
    <t>Cust_ID</t>
  </si>
  <si>
    <t>Name</t>
  </si>
  <si>
    <t>Sale</t>
  </si>
  <si>
    <t>A</t>
  </si>
  <si>
    <t>B</t>
  </si>
  <si>
    <t>Mouse</t>
  </si>
  <si>
    <t>Keyboard</t>
  </si>
  <si>
    <t>Monitor</t>
  </si>
  <si>
    <t>Printer</t>
  </si>
  <si>
    <t>Scanner</t>
  </si>
  <si>
    <t>Hard Disk</t>
  </si>
  <si>
    <t>=XLOOKUP(lookup_value,lookup_array,return_array,if_not_found,match_mode,search_mode)</t>
  </si>
  <si>
    <t>C</t>
  </si>
  <si>
    <t>D</t>
  </si>
  <si>
    <t>E</t>
  </si>
  <si>
    <t>XLOOKUP – Definition in MS Excel</t>
  </si>
  <si>
    <t>Syntax:</t>
  </si>
  <si>
    <t>Example:</t>
  </si>
  <si>
    <r>
      <t xml:space="preserve">This searches for the value in </t>
    </r>
    <r>
      <rPr>
        <b/>
        <sz val="11"/>
        <color theme="1"/>
        <rFont val="Calibri"/>
        <family val="2"/>
        <scheme val="minor"/>
      </rPr>
      <t>A2</t>
    </r>
    <r>
      <rPr>
        <sz val="11"/>
        <color theme="1"/>
        <rFont val="Calibri"/>
        <family val="2"/>
        <scheme val="minor"/>
      </rPr>
      <t xml:space="preserve"> within </t>
    </r>
    <r>
      <rPr>
        <b/>
        <sz val="11"/>
        <color theme="1"/>
        <rFont val="Calibri"/>
        <family val="2"/>
        <scheme val="minor"/>
      </rPr>
      <t>E2:E10</t>
    </r>
    <r>
      <rPr>
        <sz val="11"/>
        <color theme="1"/>
        <rFont val="Calibri"/>
        <family val="2"/>
        <scheme val="minor"/>
      </rPr>
      <t xml:space="preserve"> and returns the matching value from </t>
    </r>
    <r>
      <rPr>
        <b/>
        <sz val="11"/>
        <color theme="1"/>
        <rFont val="Calibri"/>
        <family val="2"/>
        <scheme val="minor"/>
      </rPr>
      <t>F2:F10</t>
    </r>
    <r>
      <rPr>
        <sz val="11"/>
        <color theme="1"/>
        <rFont val="Calibri"/>
        <family val="2"/>
        <scheme val="minor"/>
      </rPr>
      <t>.</t>
    </r>
  </si>
  <si>
    <t>Key Features</t>
  </si>
  <si>
    <r>
      <t xml:space="preserve">Can look </t>
    </r>
    <r>
      <rPr>
        <b/>
        <sz val="11"/>
        <color theme="1"/>
        <rFont val="Calibri"/>
        <family val="2"/>
        <scheme val="minor"/>
      </rPr>
      <t>left or right</t>
    </r>
    <r>
      <rPr>
        <sz val="11"/>
        <color theme="1"/>
        <rFont val="Calibri"/>
        <family val="2"/>
        <scheme val="minor"/>
      </rPr>
      <t>.</t>
    </r>
  </si>
  <si>
    <r>
      <t xml:space="preserve">Provides an easy alternative to </t>
    </r>
    <r>
      <rPr>
        <b/>
        <sz val="11"/>
        <color theme="1"/>
        <rFont val="Calibri"/>
        <family val="2"/>
        <scheme val="minor"/>
      </rPr>
      <t>VLOOKUP and HLOOKUP</t>
    </r>
    <r>
      <rPr>
        <sz val="11"/>
        <color theme="1"/>
        <rFont val="Calibri"/>
        <family val="2"/>
        <scheme val="minor"/>
      </rPr>
      <t>.</t>
    </r>
  </si>
  <si>
    <t>Can display a custom result when no match is found.</t>
  </si>
  <si>
    <r>
      <t xml:space="preserve">Supports </t>
    </r>
    <r>
      <rPr>
        <b/>
        <sz val="11"/>
        <color theme="1"/>
        <rFont val="Calibri"/>
        <family val="2"/>
        <scheme val="minor"/>
      </rPr>
      <t>exact matching by default</t>
    </r>
    <r>
      <rPr>
        <sz val="11"/>
        <color theme="1"/>
        <rFont val="Calibri"/>
        <family val="2"/>
        <scheme val="minor"/>
      </rPr>
      <t>.</t>
    </r>
  </si>
  <si>
    <t>Simple definition:</t>
  </si>
  <si>
    <r>
      <t>XLOOKUP</t>
    </r>
    <r>
      <rPr>
        <sz val="11"/>
        <color theme="1"/>
        <rFont val="Calibri"/>
        <family val="2"/>
        <scheme val="minor"/>
      </rPr>
      <t xml:space="preserve"> is an Excel function used to </t>
    </r>
    <r>
      <rPr>
        <b/>
        <sz val="11"/>
        <color theme="1"/>
        <rFont val="Calibri"/>
        <family val="2"/>
        <scheme val="minor"/>
      </rPr>
      <t>search for a specific value in one range or 
column and return the corresponding value from another range or column</t>
    </r>
    <r>
      <rPr>
        <sz val="11"/>
        <color theme="1"/>
        <rFont val="Calibri"/>
        <family val="2"/>
        <scheme val="minor"/>
      </rPr>
      <t>.</t>
    </r>
  </si>
  <si>
    <t>=XLOOKUP(lookup_value, lookup_array, return_array)</t>
  </si>
  <si>
    <t>=XLOOKUP(A2, E2:E10, F2:F10)</t>
  </si>
  <si>
    <t>XLOOKUP finds a value in a range and returns the related value from another range.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</si>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</sst>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;@"/>
  </numFmts>
  <fonts count="11">
    <font>
      <sz val="11"/>
      <color theme="1"/>
      <name val="Calibri"/>
      <family val="2"/>
      <scheme val="minor"/>
    </font>
    <font>
      <b/>
      <sz val="10"/>
      <color rgb="FF000000"/>
      <name val="Arial"/>
      <charset val="1"/>
    </font>
    <font>
      <sz val="10"/>
      <color rgb="FF000000"/>
      <name val="Calibri"/>
      <charset val="1"/>
    </font>
    <font>
      <sz val="10"/>
      <color rgb="FF000000"/>
      <name val="Arial"/>
      <charset val="1"/>
    </font>
    <font>
      <b/>
      <sz val="10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2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5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readingOrder="1"/>
    </xf>
    <xf numFmtId="14" fontId="3" fillId="0" borderId="4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readingOrder="1"/>
    </xf>
    <xf numFmtId="15" fontId="3" fillId="0" borderId="4" xfId="0" applyNumberFormat="1" applyFont="1" applyBorder="1" applyAlignment="1">
      <alignment horizontal="center" readingOrder="1"/>
    </xf>
    <xf numFmtId="0" fontId="0" fillId="0" borderId="1" xfId="0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0" borderId="7" xfId="0" applyFont="1" applyBorder="1" applyAlignment="1">
      <alignment readingOrder="1"/>
    </xf>
    <xf numFmtId="14" fontId="3" fillId="0" borderId="8" xfId="0" applyNumberFormat="1" applyFont="1" applyBorder="1" applyAlignment="1">
      <alignment horizontal="center" readingOrder="1"/>
    </xf>
    <xf numFmtId="0" fontId="1" fillId="2" borderId="9" xfId="0" applyFont="1" applyFill="1" applyBorder="1" applyAlignment="1">
      <alignment readingOrder="1"/>
    </xf>
    <xf numFmtId="0" fontId="0" fillId="0" borderId="6" xfId="0" applyBorder="1"/>
    <xf numFmtId="0" fontId="1" fillId="2" borderId="6" xfId="0" applyFont="1" applyFill="1" applyBorder="1" applyAlignment="1">
      <alignment horizontal="left" readingOrder="1"/>
    </xf>
    <xf numFmtId="0" fontId="1" fillId="2" borderId="6" xfId="0" applyFont="1" applyFill="1" applyBorder="1" applyAlignment="1">
      <alignment readingOrder="1"/>
    </xf>
    <xf numFmtId="0" fontId="1" fillId="2" borderId="6" xfId="0" applyFont="1" applyFill="1" applyBorder="1" applyAlignment="1">
      <alignment horizontal="center" readingOrder="1"/>
    </xf>
    <xf numFmtId="0" fontId="0" fillId="2" borderId="6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6" xfId="0" applyBorder="1" applyAlignment="1">
      <alignment horizontal="left"/>
    </xf>
    <xf numFmtId="0" fontId="1" fillId="2" borderId="5" xfId="0" applyFont="1" applyFill="1" applyBorder="1" applyAlignment="1">
      <alignment horizontal="left" readingOrder="1"/>
    </xf>
    <xf numFmtId="14" fontId="0" fillId="0" borderId="6" xfId="0" applyNumberFormat="1" applyBorder="1"/>
    <xf numFmtId="0" fontId="1" fillId="2" borderId="10" xfId="0" applyFont="1" applyFill="1" applyBorder="1" applyAlignment="1">
      <alignment readingOrder="1"/>
    </xf>
    <xf numFmtId="0" fontId="0" fillId="2" borderId="6" xfId="0" applyFill="1" applyBorder="1"/>
    <xf numFmtId="1" fontId="0" fillId="0" borderId="1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 readingOrder="1"/>
    </xf>
    <xf numFmtId="164" fontId="0" fillId="2" borderId="6" xfId="0" applyNumberFormat="1" applyFill="1" applyBorder="1" applyAlignment="1">
      <alignment horizontal="center"/>
    </xf>
    <xf numFmtId="0" fontId="5" fillId="2" borderId="6" xfId="0" applyFont="1" applyFill="1" applyBorder="1"/>
    <xf numFmtId="0" fontId="0" fillId="4" borderId="11" xfId="0" applyFill="1" applyBorder="1"/>
    <xf numFmtId="0" fontId="0" fillId="4" borderId="1" xfId="0" applyFill="1" applyBorder="1" applyAlignment="1">
      <alignment horizontal="left"/>
    </xf>
    <xf numFmtId="0" fontId="5" fillId="0" borderId="6" xfId="0" applyFont="1" applyBorder="1" applyAlignment="1">
      <alignment horizontal="left"/>
    </xf>
    <xf numFmtId="1" fontId="5" fillId="0" borderId="11" xfId="0" applyNumberFormat="1" applyFont="1" applyBorder="1" applyAlignment="1">
      <alignment horizontal="left"/>
    </xf>
    <xf numFmtId="15" fontId="0" fillId="0" borderId="6" xfId="0" applyNumberFormat="1" applyBorder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wrapText="1"/>
    </xf>
    <xf numFmtId="0" fontId="9" fillId="0" borderId="0" xfId="0" quotePrefix="1" applyFont="1" applyAlignment="1">
      <alignment vertical="center"/>
    </xf>
    <xf numFmtId="0" fontId="10" fillId="0" borderId="0" xfId="0" quotePrefix="1" applyFont="1"/>
    <xf numFmtId="14" fontId="0" fillId="0" borderId="6" xfId="0" applyNumberForma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2D2026BF-754D-426C-8E6A-47F9EDEE83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8" sqref="I8"/>
    </sheetView>
  </sheetViews>
  <sheetFormatPr defaultRowHeight="14.4"/>
  <cols>
    <col min="2" max="2" width="9.21875" style="6"/>
    <col min="3" max="4" width="11.77734375" customWidth="1"/>
    <col min="5" max="5" width="11.21875" style="9" customWidth="1"/>
    <col min="7" max="7" width="4.21875" customWidth="1"/>
    <col min="8" max="8" width="11.77734375" customWidth="1"/>
    <col min="9" max="9" width="11.21875" customWidth="1"/>
    <col min="12" max="12" width="17.88671875" customWidth="1"/>
  </cols>
  <sheetData>
    <row r="1" spans="1:9" ht="21">
      <c r="A1" s="50" t="s">
        <v>31</v>
      </c>
      <c r="B1" s="19"/>
    </row>
    <row r="3" spans="1:9">
      <c r="B3" s="4" t="s">
        <v>0</v>
      </c>
      <c r="C3" s="1" t="s">
        <v>1</v>
      </c>
      <c r="D3" s="24"/>
      <c r="E3" s="7" t="s">
        <v>2</v>
      </c>
      <c r="F3" s="1" t="s">
        <v>3</v>
      </c>
      <c r="H3" s="33" t="s">
        <v>0</v>
      </c>
      <c r="I3" s="24" t="s">
        <v>3</v>
      </c>
    </row>
    <row r="4" spans="1:9">
      <c r="B4" s="5">
        <v>101</v>
      </c>
      <c r="C4" s="22" t="s">
        <v>25</v>
      </c>
      <c r="D4" s="25"/>
      <c r="E4" s="23">
        <v>43831</v>
      </c>
      <c r="F4" s="2">
        <v>20</v>
      </c>
      <c r="H4" s="32">
        <v>103</v>
      </c>
      <c r="I4" s="31">
        <f>_xlfn.XLOOKUP(H4,$B$4:$B$10,$F$4:$F$10,"Data Not Found",0)</f>
        <v>30</v>
      </c>
    </row>
    <row r="5" spans="1:9">
      <c r="B5" s="5">
        <v>102</v>
      </c>
      <c r="C5" s="22" t="s">
        <v>26</v>
      </c>
      <c r="D5" s="25"/>
      <c r="E5" s="23">
        <v>43862</v>
      </c>
      <c r="F5" s="2">
        <v>25</v>
      </c>
    </row>
    <row r="6" spans="1:9">
      <c r="B6" s="5">
        <v>103</v>
      </c>
      <c r="C6" s="22" t="s">
        <v>27</v>
      </c>
      <c r="D6" s="25"/>
      <c r="E6" s="23">
        <v>43891</v>
      </c>
      <c r="F6" s="2">
        <v>30</v>
      </c>
    </row>
    <row r="7" spans="1:9">
      <c r="B7" s="5">
        <v>104</v>
      </c>
      <c r="C7" s="22" t="s">
        <v>28</v>
      </c>
      <c r="D7" s="25"/>
      <c r="E7" s="23">
        <v>43922</v>
      </c>
      <c r="F7" s="2">
        <v>35</v>
      </c>
      <c r="H7" s="7" t="s">
        <v>2</v>
      </c>
      <c r="I7" s="24" t="s">
        <v>3</v>
      </c>
    </row>
    <row r="8" spans="1:9">
      <c r="B8" s="5">
        <v>105</v>
      </c>
      <c r="C8" s="22" t="s">
        <v>29</v>
      </c>
      <c r="D8" s="25"/>
      <c r="E8" s="23">
        <v>43952</v>
      </c>
      <c r="F8" s="2">
        <v>40</v>
      </c>
      <c r="H8" s="51">
        <v>43952</v>
      </c>
      <c r="I8" s="29">
        <f>_xlfn.XLOOKUP(H8,$E$4:$E$10,$F$4:$F$10,"Data Not Found",0)</f>
        <v>40</v>
      </c>
    </row>
    <row r="9" spans="1:9">
      <c r="B9" s="5">
        <v>106</v>
      </c>
      <c r="C9" s="22" t="s">
        <v>30</v>
      </c>
      <c r="D9" s="25"/>
      <c r="E9" s="23">
        <v>43983</v>
      </c>
      <c r="F9" s="2">
        <v>45</v>
      </c>
    </row>
    <row r="10" spans="1:9">
      <c r="B10" s="5">
        <v>107</v>
      </c>
      <c r="C10" s="22" t="s">
        <v>29</v>
      </c>
      <c r="D10" s="25"/>
      <c r="E10" s="23">
        <v>44013</v>
      </c>
      <c r="F10" s="2">
        <v>50</v>
      </c>
      <c r="H10" s="1" t="s">
        <v>1</v>
      </c>
      <c r="I10" s="24" t="s">
        <v>3</v>
      </c>
    </row>
    <row r="11" spans="1:9">
      <c r="H11" s="22" t="s">
        <v>27</v>
      </c>
      <c r="I11" s="36">
        <f>_xlfn.XLOOKUP(H11,$C$4:$C$10,$F$4:$F$10,"Data Not Found",0)</f>
        <v>30</v>
      </c>
    </row>
  </sheetData>
  <dataValidations count="3">
    <dataValidation type="list" allowBlank="1" showInputMessage="1" showErrorMessage="1" sqref="H4" xr:uid="{D35FCCA9-380D-46DC-A7CD-3A2EFB46E258}">
      <formula1>$B$4:$B$10</formula1>
    </dataValidation>
    <dataValidation type="list" allowBlank="1" showInputMessage="1" showErrorMessage="1" sqref="H11" xr:uid="{CC6E20E7-703C-4E24-B5A5-3194BB173A0A}">
      <formula1>$C$4:$C$10</formula1>
    </dataValidation>
    <dataValidation type="list" allowBlank="1" showInputMessage="1" showErrorMessage="1" sqref="H8" xr:uid="{8F88550F-A807-4C26-B8B4-CEDA570316D9}">
      <formula1>$E$4:$E$10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8F61-E867-43BC-9313-ACCB6FB6ACDD}">
  <dimension ref="B1:H10"/>
  <sheetViews>
    <sheetView workbookViewId="0">
      <selection activeCell="H15" sqref="H15"/>
    </sheetView>
  </sheetViews>
  <sheetFormatPr defaultRowHeight="14.4"/>
  <cols>
    <col min="1" max="1" width="5" customWidth="1"/>
    <col min="3" max="3" width="11" customWidth="1"/>
    <col min="4" max="4" width="11.77734375" customWidth="1"/>
    <col min="6" max="6" width="6.77734375" customWidth="1"/>
    <col min="7" max="7" width="11.77734375" customWidth="1"/>
    <col min="8" max="8" width="13.5546875" customWidth="1"/>
  </cols>
  <sheetData>
    <row r="1" spans="2:8">
      <c r="B1" s="17" t="s">
        <v>4</v>
      </c>
      <c r="C1" s="18"/>
      <c r="D1" s="18"/>
    </row>
    <row r="3" spans="2:8">
      <c r="B3" s="4" t="s">
        <v>0</v>
      </c>
      <c r="C3" s="1" t="s">
        <v>1</v>
      </c>
      <c r="D3" s="7" t="s">
        <v>2</v>
      </c>
      <c r="E3" s="1" t="s">
        <v>3</v>
      </c>
      <c r="G3" s="10" t="s">
        <v>2</v>
      </c>
      <c r="H3" s="35" t="s">
        <v>1</v>
      </c>
    </row>
    <row r="4" spans="2:8">
      <c r="B4" s="5">
        <v>101</v>
      </c>
      <c r="C4" s="22" t="s">
        <v>25</v>
      </c>
      <c r="D4" s="8">
        <v>43831</v>
      </c>
      <c r="E4" s="2">
        <v>22</v>
      </c>
      <c r="G4" s="34">
        <v>43952</v>
      </c>
      <c r="H4" s="31" t="str">
        <f>_xlfn.XLOOKUP(G4,$D$4:$D$10,$C$4:$C$10,"Data Not Found",0)</f>
        <v>Scanner</v>
      </c>
    </row>
    <row r="5" spans="2:8">
      <c r="B5" s="5">
        <v>102</v>
      </c>
      <c r="C5" s="22" t="s">
        <v>26</v>
      </c>
      <c r="D5" s="8">
        <v>43862</v>
      </c>
      <c r="E5" s="2">
        <v>32</v>
      </c>
    </row>
    <row r="6" spans="2:8">
      <c r="B6" s="5">
        <v>103</v>
      </c>
      <c r="C6" s="22" t="s">
        <v>27</v>
      </c>
      <c r="D6" s="8">
        <v>43891</v>
      </c>
      <c r="E6" s="2">
        <v>23</v>
      </c>
    </row>
    <row r="7" spans="2:8">
      <c r="B7" s="5">
        <v>104</v>
      </c>
      <c r="C7" s="22" t="s">
        <v>28</v>
      </c>
      <c r="D7" s="8">
        <v>43922</v>
      </c>
      <c r="E7" s="2">
        <v>12</v>
      </c>
    </row>
    <row r="8" spans="2:8">
      <c r="B8" s="5">
        <v>105</v>
      </c>
      <c r="C8" s="22" t="s">
        <v>29</v>
      </c>
      <c r="D8" s="8">
        <v>43952</v>
      </c>
      <c r="E8" s="2">
        <v>32</v>
      </c>
    </row>
    <row r="9" spans="2:8">
      <c r="B9" s="5">
        <v>106</v>
      </c>
      <c r="C9" s="22" t="s">
        <v>30</v>
      </c>
      <c r="D9" s="8">
        <v>43983</v>
      </c>
      <c r="E9" s="2">
        <v>32</v>
      </c>
    </row>
    <row r="10" spans="2:8">
      <c r="B10" s="5">
        <v>107</v>
      </c>
      <c r="C10" s="22" t="s">
        <v>29</v>
      </c>
      <c r="D10" s="8">
        <v>44013</v>
      </c>
      <c r="E10" s="2">
        <v>32</v>
      </c>
    </row>
  </sheetData>
  <dataValidations count="1">
    <dataValidation type="list" allowBlank="1" showInputMessage="1" showErrorMessage="1" sqref="G4" xr:uid="{8D8CE0EB-1243-4BF9-8A9E-4B54A37DE56D}">
      <formula1>$D$4:$D$10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003-F910-4853-946D-495DE9622CF6}">
  <dimension ref="B1:J10"/>
  <sheetViews>
    <sheetView workbookViewId="0">
      <selection activeCell="J8" sqref="J8"/>
    </sheetView>
  </sheetViews>
  <sheetFormatPr defaultRowHeight="14.4"/>
  <cols>
    <col min="1" max="1" width="5" customWidth="1"/>
    <col min="3" max="3" width="11" customWidth="1"/>
    <col min="4" max="5" width="9" customWidth="1"/>
    <col min="6" max="6" width="7.5546875" customWidth="1"/>
    <col min="7" max="7" width="11.77734375" customWidth="1"/>
    <col min="8" max="8" width="13.5546875" customWidth="1"/>
  </cols>
  <sheetData>
    <row r="1" spans="2:10">
      <c r="B1" s="16" t="s">
        <v>5</v>
      </c>
    </row>
    <row r="3" spans="2:10">
      <c r="B3" s="4" t="s">
        <v>0</v>
      </c>
      <c r="C3" s="1" t="s">
        <v>1</v>
      </c>
      <c r="D3" s="7" t="s">
        <v>6</v>
      </c>
      <c r="E3" s="1" t="s">
        <v>7</v>
      </c>
      <c r="G3" s="26" t="s">
        <v>0</v>
      </c>
      <c r="H3" s="27" t="s">
        <v>1</v>
      </c>
      <c r="I3" s="28" t="s">
        <v>6</v>
      </c>
      <c r="J3" s="27" t="s">
        <v>7</v>
      </c>
    </row>
    <row r="4" spans="2:10">
      <c r="B4" s="5">
        <v>101</v>
      </c>
      <c r="C4" s="22" t="s">
        <v>25</v>
      </c>
      <c r="D4" s="2">
        <v>23</v>
      </c>
      <c r="E4" s="2">
        <v>22</v>
      </c>
      <c r="G4" s="32">
        <v>103</v>
      </c>
      <c r="H4" s="30" t="str" cm="1">
        <f t="array" ref="H4:J4">_xlfn.XLOOKUP(G4,$B$4:$B$10,$C$4:$E$10,"Data Not Found",0)</f>
        <v>Monitor</v>
      </c>
      <c r="I4" s="30">
        <v>32</v>
      </c>
      <c r="J4" s="30">
        <v>23</v>
      </c>
    </row>
    <row r="5" spans="2:10">
      <c r="B5" s="5">
        <v>102</v>
      </c>
      <c r="C5" s="22" t="s">
        <v>26</v>
      </c>
      <c r="D5" s="2">
        <v>12</v>
      </c>
      <c r="E5" s="2">
        <v>32</v>
      </c>
    </row>
    <row r="6" spans="2:10">
      <c r="B6" s="5">
        <v>103</v>
      </c>
      <c r="C6" s="22" t="s">
        <v>27</v>
      </c>
      <c r="D6" s="2">
        <v>32</v>
      </c>
      <c r="E6" s="2">
        <v>23</v>
      </c>
    </row>
    <row r="7" spans="2:10">
      <c r="B7" s="5">
        <v>104</v>
      </c>
      <c r="C7" s="22" t="s">
        <v>28</v>
      </c>
      <c r="D7" s="2">
        <v>32</v>
      </c>
      <c r="E7" s="2">
        <v>12</v>
      </c>
    </row>
    <row r="8" spans="2:10">
      <c r="B8" s="5">
        <v>105</v>
      </c>
      <c r="C8" s="22" t="s">
        <v>29</v>
      </c>
      <c r="D8" s="2">
        <v>32</v>
      </c>
      <c r="E8" s="2">
        <v>32</v>
      </c>
      <c r="G8" s="3" t="s">
        <v>0</v>
      </c>
      <c r="H8" s="24" t="s">
        <v>8</v>
      </c>
    </row>
    <row r="9" spans="2:10">
      <c r="B9" s="5">
        <v>106</v>
      </c>
      <c r="C9" s="22" t="s">
        <v>30</v>
      </c>
      <c r="D9" s="2">
        <v>32</v>
      </c>
      <c r="E9" s="2">
        <v>32</v>
      </c>
      <c r="G9" s="32">
        <v>104</v>
      </c>
      <c r="H9" s="31">
        <f>SUM(_xlfn.XLOOKUP(G9,$B$4:$B$10,D4:E10,"Data Not Found",0))</f>
        <v>44</v>
      </c>
    </row>
    <row r="10" spans="2:10">
      <c r="B10" s="5">
        <v>107</v>
      </c>
      <c r="C10" s="22" t="s">
        <v>29</v>
      </c>
      <c r="D10" s="2">
        <v>32</v>
      </c>
      <c r="E10" s="2">
        <v>32</v>
      </c>
    </row>
  </sheetData>
  <dataValidations count="1">
    <dataValidation type="list" allowBlank="1" showInputMessage="1" showErrorMessage="1" sqref="G4 G9" xr:uid="{4D1AD03C-7B07-42C8-BA92-0EFDA470A608}">
      <formula1>$B$4:$B$10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D0ED-BDF9-45AA-B16C-5746CA5EC73E}">
  <dimension ref="B1:J10"/>
  <sheetViews>
    <sheetView workbookViewId="0">
      <selection activeCell="H5" sqref="H5"/>
    </sheetView>
  </sheetViews>
  <sheetFormatPr defaultRowHeight="14.4"/>
  <cols>
    <col min="1" max="1" width="5" customWidth="1"/>
    <col min="3" max="3" width="11" customWidth="1"/>
    <col min="4" max="4" width="11.77734375" customWidth="1"/>
    <col min="6" max="6" width="4" customWidth="1"/>
    <col min="7" max="7" width="11.77734375" customWidth="1"/>
    <col min="8" max="10" width="15.5546875" customWidth="1"/>
  </cols>
  <sheetData>
    <row r="1" spans="2:10">
      <c r="B1" s="16" t="s">
        <v>9</v>
      </c>
    </row>
    <row r="3" spans="2:10">
      <c r="B3" s="4" t="s">
        <v>0</v>
      </c>
      <c r="C3" s="1" t="s">
        <v>1</v>
      </c>
      <c r="D3" s="7" t="s">
        <v>2</v>
      </c>
      <c r="E3" s="1" t="s">
        <v>3</v>
      </c>
      <c r="G3" s="10" t="s">
        <v>0</v>
      </c>
      <c r="H3" s="24" t="s">
        <v>1</v>
      </c>
      <c r="I3" s="38" t="s">
        <v>2</v>
      </c>
      <c r="J3" s="24" t="s">
        <v>3</v>
      </c>
    </row>
    <row r="4" spans="2:10">
      <c r="B4" s="5">
        <v>124</v>
      </c>
      <c r="C4" s="22" t="s">
        <v>25</v>
      </c>
      <c r="D4" s="8">
        <v>43831</v>
      </c>
      <c r="E4" s="2">
        <v>22</v>
      </c>
      <c r="G4" s="37">
        <v>122</v>
      </c>
      <c r="H4" s="30" t="str" cm="1">
        <f t="array" ref="H4:J4">_xlfn.XLOOKUP(G4,$B$4:$B$10,$C$4:$E$10,"Data Not Found",-1 )</f>
        <v>Monitor</v>
      </c>
      <c r="I4" s="39">
        <v>43891</v>
      </c>
      <c r="J4" s="30">
        <v>23</v>
      </c>
    </row>
    <row r="5" spans="2:10">
      <c r="B5" s="5">
        <v>120</v>
      </c>
      <c r="C5" s="22" t="s">
        <v>26</v>
      </c>
      <c r="D5" s="8">
        <v>43862</v>
      </c>
      <c r="E5" s="2">
        <v>32</v>
      </c>
    </row>
    <row r="6" spans="2:10">
      <c r="B6" s="5">
        <v>122</v>
      </c>
      <c r="C6" s="22" t="s">
        <v>27</v>
      </c>
      <c r="D6" s="8">
        <v>43891</v>
      </c>
      <c r="E6" s="2">
        <v>23</v>
      </c>
    </row>
    <row r="7" spans="2:10">
      <c r="B7" s="5">
        <v>140</v>
      </c>
      <c r="C7" s="22" t="s">
        <v>28</v>
      </c>
      <c r="D7" s="8">
        <v>43922</v>
      </c>
      <c r="E7" s="2">
        <v>12</v>
      </c>
    </row>
    <row r="8" spans="2:10">
      <c r="B8" s="5">
        <v>150</v>
      </c>
      <c r="C8" s="22" t="s">
        <v>29</v>
      </c>
      <c r="D8" s="8">
        <v>43952</v>
      </c>
      <c r="E8" s="2">
        <v>32</v>
      </c>
    </row>
    <row r="9" spans="2:10">
      <c r="B9" s="5">
        <v>160</v>
      </c>
      <c r="C9" s="22" t="s">
        <v>30</v>
      </c>
      <c r="D9" s="8">
        <v>43983</v>
      </c>
      <c r="E9" s="2">
        <v>32</v>
      </c>
    </row>
    <row r="10" spans="2:10">
      <c r="B10" s="5">
        <v>170</v>
      </c>
      <c r="C10" s="22" t="s">
        <v>29</v>
      </c>
      <c r="D10" s="8">
        <v>44013</v>
      </c>
      <c r="E10" s="2">
        <v>32</v>
      </c>
    </row>
  </sheetData>
  <dataValidations count="1">
    <dataValidation type="list" allowBlank="1" showInputMessage="1" showErrorMessage="1" sqref="J7 G4" xr:uid="{24BAF1B8-5EBF-4391-9347-ED1D1C6E7591}">
      <formula1>$B$4:$B$10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DEC8-69FF-420E-A76F-CC7C064508DC}">
  <dimension ref="B1:H10"/>
  <sheetViews>
    <sheetView workbookViewId="0">
      <selection activeCell="K8" sqref="K8"/>
    </sheetView>
  </sheetViews>
  <sheetFormatPr defaultRowHeight="14.4"/>
  <cols>
    <col min="1" max="1" width="5" customWidth="1"/>
    <col min="3" max="3" width="11" customWidth="1"/>
    <col min="4" max="4" width="16.5546875" customWidth="1"/>
    <col min="6" max="6" width="7.5546875" customWidth="1"/>
    <col min="7" max="7" width="11.77734375" customWidth="1"/>
    <col min="8" max="8" width="13.5546875" customWidth="1"/>
  </cols>
  <sheetData>
    <row r="1" spans="2:8">
      <c r="B1" s="16" t="s">
        <v>10</v>
      </c>
    </row>
    <row r="3" spans="2:8">
      <c r="B3" s="4" t="s">
        <v>0</v>
      </c>
      <c r="C3" s="1" t="s">
        <v>1</v>
      </c>
      <c r="D3" s="7" t="s">
        <v>2</v>
      </c>
      <c r="E3" s="1" t="s">
        <v>3</v>
      </c>
      <c r="G3" s="38" t="s">
        <v>2</v>
      </c>
      <c r="H3" s="24" t="s">
        <v>3</v>
      </c>
    </row>
    <row r="4" spans="2:8">
      <c r="B4" s="5">
        <v>110</v>
      </c>
      <c r="C4" s="22" t="s">
        <v>25</v>
      </c>
      <c r="D4" s="11">
        <v>43831</v>
      </c>
      <c r="E4" s="2">
        <v>22</v>
      </c>
      <c r="G4" s="45">
        <v>45299</v>
      </c>
      <c r="H4" s="36">
        <f>_xlfn.XLOOKUP(G4,$D$4:$D$10,$E$4:$E$10,"Data Not  Found",0)</f>
        <v>32</v>
      </c>
    </row>
    <row r="5" spans="2:8">
      <c r="B5" s="5">
        <v>120</v>
      </c>
      <c r="C5" s="22" t="s">
        <v>26</v>
      </c>
      <c r="D5" s="11">
        <v>44198</v>
      </c>
      <c r="E5" s="2">
        <v>32</v>
      </c>
    </row>
    <row r="6" spans="2:8">
      <c r="B6" s="5">
        <v>130</v>
      </c>
      <c r="C6" s="22" t="s">
        <v>27</v>
      </c>
      <c r="D6" s="11">
        <v>44565</v>
      </c>
      <c r="E6" s="2">
        <v>23</v>
      </c>
    </row>
    <row r="7" spans="2:8">
      <c r="B7" s="5">
        <v>140</v>
      </c>
      <c r="C7" s="22" t="s">
        <v>28</v>
      </c>
      <c r="D7" s="11">
        <v>44932</v>
      </c>
      <c r="E7" s="2">
        <v>12</v>
      </c>
      <c r="G7" s="9"/>
    </row>
    <row r="8" spans="2:8">
      <c r="B8" s="5">
        <v>150</v>
      </c>
      <c r="C8" s="22" t="s">
        <v>29</v>
      </c>
      <c r="D8" s="11">
        <v>45299</v>
      </c>
      <c r="E8" s="2">
        <v>32</v>
      </c>
    </row>
    <row r="9" spans="2:8">
      <c r="B9" s="5">
        <v>160</v>
      </c>
      <c r="C9" s="22" t="s">
        <v>30</v>
      </c>
      <c r="D9" s="11">
        <v>45666</v>
      </c>
      <c r="E9" s="2">
        <v>32</v>
      </c>
    </row>
    <row r="10" spans="2:8">
      <c r="B10" s="5">
        <v>170</v>
      </c>
      <c r="C10" s="22" t="s">
        <v>29</v>
      </c>
      <c r="D10" s="11">
        <v>46033</v>
      </c>
      <c r="E10" s="2">
        <v>32</v>
      </c>
    </row>
  </sheetData>
  <dataValidations count="1">
    <dataValidation type="list" allowBlank="1" showInputMessage="1" showErrorMessage="1" sqref="G4" xr:uid="{BB901294-3749-438B-824D-C6F37B7FE1D4}">
      <formula1>$D$4:$D$10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D917-E107-4D6A-9AD3-3DB86031B6F9}">
  <dimension ref="B1:H10"/>
  <sheetViews>
    <sheetView workbookViewId="0">
      <selection activeCell="G2" sqref="G2"/>
    </sheetView>
  </sheetViews>
  <sheetFormatPr defaultRowHeight="14.4"/>
  <cols>
    <col min="1" max="1" width="5" customWidth="1"/>
    <col min="3" max="3" width="11" customWidth="1"/>
    <col min="4" max="4" width="16.5546875" customWidth="1"/>
    <col min="6" max="6" width="7.5546875" customWidth="1"/>
    <col min="7" max="7" width="11.77734375" customWidth="1"/>
    <col min="8" max="8" width="13.5546875" customWidth="1"/>
  </cols>
  <sheetData>
    <row r="1" spans="2:8">
      <c r="B1" s="16" t="s">
        <v>11</v>
      </c>
    </row>
    <row r="2" spans="2:8">
      <c r="G2" t="s">
        <v>50</v>
      </c>
    </row>
    <row r="3" spans="2:8">
      <c r="B3" s="4" t="s">
        <v>0</v>
      </c>
      <c r="C3" s="1" t="s">
        <v>1</v>
      </c>
      <c r="D3" s="7" t="s">
        <v>2</v>
      </c>
      <c r="E3" s="1" t="s">
        <v>3</v>
      </c>
      <c r="G3" s="10" t="s">
        <v>0</v>
      </c>
      <c r="H3" s="24" t="s">
        <v>12</v>
      </c>
    </row>
    <row r="4" spans="2:8">
      <c r="B4" s="5">
        <v>110</v>
      </c>
      <c r="C4" s="22" t="s">
        <v>25</v>
      </c>
      <c r="D4" s="11">
        <v>43831</v>
      </c>
      <c r="E4" s="2">
        <v>22</v>
      </c>
      <c r="G4" s="44">
        <v>140</v>
      </c>
      <c r="H4" s="30" t="str">
        <f>_xlfn.XLOOKUP(G4,$B$4:$B$10,$C$4:$C$10,"Data Not Found",0)</f>
        <v>Printer</v>
      </c>
    </row>
    <row r="5" spans="2:8">
      <c r="B5" s="5">
        <v>120</v>
      </c>
      <c r="C5" s="22" t="s">
        <v>26</v>
      </c>
      <c r="D5" s="11">
        <v>43832</v>
      </c>
      <c r="E5" s="2">
        <v>32</v>
      </c>
    </row>
    <row r="6" spans="2:8">
      <c r="B6" s="5">
        <v>130</v>
      </c>
      <c r="C6" s="22" t="s">
        <v>27</v>
      </c>
      <c r="D6" s="11">
        <v>43831</v>
      </c>
      <c r="E6" s="2">
        <v>23</v>
      </c>
    </row>
    <row r="7" spans="2:8">
      <c r="B7" s="5">
        <v>140</v>
      </c>
      <c r="C7" s="22" t="s">
        <v>28</v>
      </c>
      <c r="D7" s="11">
        <v>43834</v>
      </c>
      <c r="E7" s="2">
        <v>12</v>
      </c>
      <c r="G7" s="9" t="s">
        <v>49</v>
      </c>
    </row>
    <row r="8" spans="2:8">
      <c r="B8" s="5">
        <v>150</v>
      </c>
      <c r="C8" s="22" t="s">
        <v>29</v>
      </c>
      <c r="D8" s="11">
        <v>43831</v>
      </c>
      <c r="E8" s="2">
        <v>32</v>
      </c>
      <c r="G8" s="10" t="s">
        <v>0</v>
      </c>
      <c r="H8" s="24" t="s">
        <v>12</v>
      </c>
    </row>
    <row r="9" spans="2:8">
      <c r="B9" s="5">
        <v>160</v>
      </c>
      <c r="C9" s="22" t="s">
        <v>30</v>
      </c>
      <c r="D9" s="11">
        <v>43836</v>
      </c>
      <c r="E9" s="2">
        <v>32</v>
      </c>
      <c r="G9" s="44">
        <v>140</v>
      </c>
      <c r="H9" t="str">
        <f>VLOOKUP(G9,$B$3:$E$10,2,FALSE)</f>
        <v>Printer</v>
      </c>
    </row>
    <row r="10" spans="2:8">
      <c r="B10" s="5">
        <v>170</v>
      </c>
      <c r="C10" s="22" t="s">
        <v>29</v>
      </c>
      <c r="D10" s="11">
        <v>43837</v>
      </c>
      <c r="E10" s="2">
        <v>32</v>
      </c>
    </row>
  </sheetData>
  <dataValidations count="1">
    <dataValidation type="list" allowBlank="1" showInputMessage="1" showErrorMessage="1" sqref="G4 G9" xr:uid="{1B22BC62-EC6C-4BC0-884B-9F2321928562}">
      <formula1>$B$4:$B$10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8C76-1AB0-45C0-9C4B-DE7A7C9B7C5E}">
  <dimension ref="B1:K10"/>
  <sheetViews>
    <sheetView workbookViewId="0">
      <selection activeCell="J7" sqref="J7"/>
    </sheetView>
  </sheetViews>
  <sheetFormatPr defaultRowHeight="14.4"/>
  <cols>
    <col min="2" max="2" width="9.21875" style="9"/>
    <col min="9" max="9" width="13.44140625" customWidth="1"/>
  </cols>
  <sheetData>
    <row r="1" spans="2:11">
      <c r="B1" s="19" t="s">
        <v>13</v>
      </c>
    </row>
    <row r="3" spans="2:11">
      <c r="B3" s="14" t="s">
        <v>14</v>
      </c>
      <c r="C3" s="13" t="s">
        <v>15</v>
      </c>
      <c r="D3" s="13" t="s">
        <v>16</v>
      </c>
      <c r="E3" s="13" t="s">
        <v>17</v>
      </c>
      <c r="F3" s="13" t="s">
        <v>18</v>
      </c>
      <c r="H3" s="25" t="s">
        <v>14</v>
      </c>
      <c r="I3" s="40" t="s">
        <v>16</v>
      </c>
    </row>
    <row r="4" spans="2:11">
      <c r="B4" s="15">
        <v>100</v>
      </c>
      <c r="C4" s="12">
        <v>32000</v>
      </c>
      <c r="D4" s="12">
        <v>36000</v>
      </c>
      <c r="E4" s="12">
        <v>65000</v>
      </c>
      <c r="F4" s="12">
        <v>76000</v>
      </c>
      <c r="H4" s="43">
        <v>102</v>
      </c>
      <c r="I4" s="36">
        <f>_xlfn.XLOOKUP(H4,$B$4:$B$9,$D$4:$D$9,"Data Not Found",0)</f>
        <v>56000</v>
      </c>
    </row>
    <row r="5" spans="2:11">
      <c r="B5" s="15">
        <v>101</v>
      </c>
      <c r="C5" s="12">
        <v>65000</v>
      </c>
      <c r="D5" s="12">
        <v>76000</v>
      </c>
      <c r="E5" s="12">
        <v>23000</v>
      </c>
      <c r="F5" s="12">
        <v>56000</v>
      </c>
    </row>
    <row r="6" spans="2:11">
      <c r="B6" s="15">
        <v>102</v>
      </c>
      <c r="C6" s="12">
        <v>23000</v>
      </c>
      <c r="D6" s="12">
        <v>56000</v>
      </c>
      <c r="E6" s="12">
        <v>32000</v>
      </c>
      <c r="F6" s="12">
        <v>65000</v>
      </c>
    </row>
    <row r="7" spans="2:11">
      <c r="B7" s="15">
        <v>103</v>
      </c>
      <c r="C7" s="12">
        <v>32000</v>
      </c>
      <c r="D7" s="12">
        <v>65000</v>
      </c>
      <c r="E7" s="12">
        <v>21000</v>
      </c>
      <c r="F7" s="12">
        <v>60000</v>
      </c>
      <c r="H7" s="16" t="s">
        <v>13</v>
      </c>
    </row>
    <row r="8" spans="2:11">
      <c r="B8" s="15">
        <v>104</v>
      </c>
      <c r="C8" s="12">
        <v>21000</v>
      </c>
      <c r="D8" s="12">
        <v>60000</v>
      </c>
      <c r="E8" s="12">
        <v>11000</v>
      </c>
      <c r="F8" s="12">
        <v>760000</v>
      </c>
    </row>
    <row r="9" spans="2:11">
      <c r="B9" s="15">
        <v>105</v>
      </c>
      <c r="C9" s="12">
        <v>11000</v>
      </c>
      <c r="D9" s="12">
        <v>760000</v>
      </c>
      <c r="E9" s="12">
        <v>23500</v>
      </c>
      <c r="F9" s="12">
        <v>54300</v>
      </c>
      <c r="H9" s="25" t="s">
        <v>14</v>
      </c>
      <c r="I9" s="40" t="s">
        <v>16</v>
      </c>
      <c r="J9" s="13" t="s">
        <v>17</v>
      </c>
      <c r="K9" s="13" t="s">
        <v>18</v>
      </c>
    </row>
    <row r="10" spans="2:11">
      <c r="H10" s="43">
        <v>100</v>
      </c>
      <c r="I10" s="36">
        <v>36000</v>
      </c>
      <c r="J10" cm="1">
        <f t="array" ref="J10:K10">_xlfn.XLOOKUP(H10&amp;I10,$B$4:$B$9&amp;$D$4:$D$9,$E$4:$F$9,"Data Not Found",0)</f>
        <v>65000</v>
      </c>
      <c r="K10">
        <v>76000</v>
      </c>
    </row>
  </sheetData>
  <dataValidations count="3">
    <dataValidation type="list" allowBlank="1" showInputMessage="1" showErrorMessage="1" sqref="H4 H10" xr:uid="{3E64938B-E646-4582-90A9-B84EC331CDA7}">
      <formula1>$B$4:$B$9</formula1>
    </dataValidation>
    <dataValidation type="list" allowBlank="1" showInputMessage="1" showErrorMessage="1" sqref="I3 I9" xr:uid="{FD218226-1329-4DF8-8509-FDA1C898BB81}">
      <formula1>$C$3:$F$3</formula1>
    </dataValidation>
    <dataValidation type="list" allowBlank="1" showInputMessage="1" showErrorMessage="1" sqref="I10" xr:uid="{A2977340-F471-43C0-A1A2-27D71AA9D504}">
      <formula1>$D$4:$D$9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E9A4-9B56-4A6E-AEE0-3A1B3E47D4C9}">
  <dimension ref="B1:H8"/>
  <sheetViews>
    <sheetView tabSelected="1" workbookViewId="0">
      <selection activeCell="H5" sqref="H5"/>
    </sheetView>
  </sheetViews>
  <sheetFormatPr defaultRowHeight="14.4"/>
  <cols>
    <col min="1" max="1" width="2.44140625" customWidth="1"/>
    <col min="5" max="5" width="2.44140625" customWidth="1"/>
    <col min="6" max="8" width="12.109375" customWidth="1"/>
  </cols>
  <sheetData>
    <row r="1" spans="2:8">
      <c r="B1" s="16" t="s">
        <v>19</v>
      </c>
    </row>
    <row r="3" spans="2:8">
      <c r="B3" s="14" t="s">
        <v>20</v>
      </c>
      <c r="C3" s="14" t="s">
        <v>21</v>
      </c>
      <c r="D3" s="14" t="s">
        <v>22</v>
      </c>
      <c r="F3" s="21" t="s">
        <v>20</v>
      </c>
      <c r="G3" s="21" t="s">
        <v>21</v>
      </c>
      <c r="H3" s="21" t="s">
        <v>22</v>
      </c>
    </row>
    <row r="4" spans="2:8">
      <c r="B4" s="20">
        <v>100</v>
      </c>
      <c r="C4" s="20" t="s">
        <v>23</v>
      </c>
      <c r="D4" s="20">
        <v>23000</v>
      </c>
      <c r="F4" s="42">
        <v>100</v>
      </c>
      <c r="G4" s="41" t="s">
        <v>24</v>
      </c>
      <c r="H4" s="36" t="str" cm="1">
        <f t="array" ref="H4">_xlfn.XLOOKUP(F4&amp;G4,$B$4:$B$8&amp;$C$4:$C$8,$D$4:$D$8,"Data Not Found",0)</f>
        <v>Data Not Found</v>
      </c>
    </row>
    <row r="5" spans="2:8">
      <c r="B5" s="20">
        <v>101</v>
      </c>
      <c r="C5" s="20" t="s">
        <v>24</v>
      </c>
      <c r="D5" s="20">
        <v>43000</v>
      </c>
    </row>
    <row r="6" spans="2:8">
      <c r="B6" s="20">
        <v>102</v>
      </c>
      <c r="C6" s="20" t="s">
        <v>32</v>
      </c>
      <c r="D6" s="20">
        <v>2300</v>
      </c>
    </row>
    <row r="7" spans="2:8">
      <c r="B7" s="20">
        <v>100</v>
      </c>
      <c r="C7" s="20" t="s">
        <v>33</v>
      </c>
      <c r="D7" s="20">
        <v>43100</v>
      </c>
    </row>
    <row r="8" spans="2:8">
      <c r="B8" s="20">
        <v>104</v>
      </c>
      <c r="C8" s="20" t="s">
        <v>34</v>
      </c>
      <c r="D8" s="20">
        <v>35000</v>
      </c>
    </row>
  </sheetData>
  <dataValidations count="2">
    <dataValidation type="list" allowBlank="1" showInputMessage="1" showErrorMessage="1" sqref="F4" xr:uid="{91C59477-8B9B-474D-A3B3-8C12505B3D9C}">
      <formula1>$B$4:$B$8</formula1>
    </dataValidation>
    <dataValidation type="list" allowBlank="1" showInputMessage="1" showErrorMessage="1" sqref="G4" xr:uid="{281D2C3D-9C73-43C3-83BB-47F7D8BE79E0}">
      <formula1>$C$4:$C$8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598A-9816-4614-90E1-1F48D566D323}">
  <dimension ref="B1:B18"/>
  <sheetViews>
    <sheetView workbookViewId="0">
      <selection activeCell="D13" sqref="D13"/>
    </sheetView>
  </sheetViews>
  <sheetFormatPr defaultRowHeight="14.4"/>
  <cols>
    <col min="2" max="2" width="76.5546875" bestFit="1" customWidth="1"/>
  </cols>
  <sheetData>
    <row r="1" spans="2:2" ht="18">
      <c r="B1" s="46" t="s">
        <v>35</v>
      </c>
    </row>
    <row r="3" spans="2:2" ht="28.8">
      <c r="B3" s="48" t="s">
        <v>45</v>
      </c>
    </row>
    <row r="5" spans="2:2">
      <c r="B5" s="16" t="s">
        <v>36</v>
      </c>
    </row>
    <row r="6" spans="2:2">
      <c r="B6" s="49" t="s">
        <v>46</v>
      </c>
    </row>
    <row r="7" spans="2:2">
      <c r="B7" s="16" t="s">
        <v>37</v>
      </c>
    </row>
    <row r="8" spans="2:2">
      <c r="B8" s="49" t="s">
        <v>47</v>
      </c>
    </row>
    <row r="9" spans="2:2">
      <c r="B9" t="s">
        <v>38</v>
      </c>
    </row>
    <row r="11" spans="2:2" ht="18">
      <c r="B11" s="46" t="s">
        <v>39</v>
      </c>
    </row>
    <row r="12" spans="2:2">
      <c r="B12" s="47" t="s">
        <v>40</v>
      </c>
    </row>
    <row r="13" spans="2:2">
      <c r="B13" s="47" t="s">
        <v>41</v>
      </c>
    </row>
    <row r="14" spans="2:2">
      <c r="B14" s="47" t="s">
        <v>42</v>
      </c>
    </row>
    <row r="15" spans="2:2">
      <c r="B15" s="47" t="s">
        <v>43</v>
      </c>
    </row>
    <row r="17" spans="2:2">
      <c r="B17" s="16" t="s">
        <v>44</v>
      </c>
    </row>
    <row r="18" spans="2:2">
      <c r="B18" s="16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Example 1</vt:lpstr>
      <vt:lpstr>Example 2</vt:lpstr>
      <vt:lpstr>Example 3</vt:lpstr>
      <vt:lpstr>Example 4</vt:lpstr>
      <vt:lpstr>Example 5</vt:lpstr>
      <vt:lpstr>Example 6</vt:lpstr>
      <vt:lpstr>Example 7</vt:lpstr>
      <vt:lpstr>Example 8</vt:lpstr>
      <vt:lpstr>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 Nehra</dc:creator>
  <cp:keywords/>
  <dc:description/>
  <cp:lastModifiedBy>Teju Doundkar</cp:lastModifiedBy>
  <cp:revision/>
  <dcterms:created xsi:type="dcterms:W3CDTF">2020-12-06T14:53:24Z</dcterms:created>
  <dcterms:modified xsi:type="dcterms:W3CDTF">2026-10-14T13:29:28Z</dcterms:modified>
  <cp:category/>
  <cp:contentStatus/>
</cp:coreProperties>
</file>